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all Tracker" sheetId="1" state="visible" r:id="rId3"/>
  </sheets>
  <definedNames>
    <definedName function="false" hidden="true" localSheetId="0" name="_xlnm._FilterDatabase" vbProcedure="false">'Overall Tracker'!$A$1:$F$87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<sst xmlns="http://schemas.openxmlformats.org/spreadsheetml/2006/main" count="214" uniqueCount="17">
  <si>
    <t xml:space="preserve">Date</t>
  </si>
  <si>
    <t xml:space="preserve">Current Value</t>
  </si>
  <si>
    <t xml:space="preserve">Abs Gain / Loss</t>
  </si>
  <si>
    <t xml:space="preserve">Invested Amount</t>
  </si>
  <si>
    <t xml:space="preserve">Abs returns* Since you started (%)</t>
  </si>
  <si>
    <t xml:space="preserve">1L</t>
  </si>
  <si>
    <t xml:space="preserve">1L-Streak</t>
  </si>
  <si>
    <t xml:space="preserve">Avg Delta Gain</t>
  </si>
  <si>
    <t xml:space="preserve">All Time Per Day Gain</t>
  </si>
  <si>
    <t xml:space="preserve">Debt %</t>
  </si>
  <si>
    <t xml:space="preserve">Equity %</t>
  </si>
  <si>
    <t xml:space="preserve">Index %</t>
  </si>
  <si>
    <t xml:space="preserve">NA</t>
  </si>
  <si>
    <t xml:space="preserve">-</t>
  </si>
  <si>
    <t xml:space="preserve">Change in y (INR) per unit change in x (1 day)</t>
  </si>
  <si>
    <t xml:space="preserve">SLOPE</t>
  </si>
  <si>
    <t xml:space="preserve">INTERCEPT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</si>
</sst>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 m\ d"/>
    <numFmt numFmtId="167" formatCode="yyyy\-mm\-dd"/>
    <numFmt numFmtId="168" formatCode="#,##0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DejaVu Sans"/>
      <family val="2"/>
      <charset val="1"/>
    </font>
    <font>
      <sz val="9"/>
      <color theme="1"/>
      <name val="DejaVu Sans"/>
      <family val="2"/>
      <charset val="1"/>
    </font>
    <font>
      <b val="true"/>
      <sz val="9"/>
      <color theme="1"/>
      <name val="DejaVu Sans"/>
      <family val="2"/>
      <charset val="1"/>
    </font>
    <font>
      <sz val="9"/>
      <color rgb="FF008000"/>
      <name val="DejaVu Sans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'Overall Tracker'!$B$1</c:f>
              <c:strCache>
                <c:ptCount val="1"/>
                <c:pt idx="0">
                  <c:v>Current Value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'Overall Tracker'!$A$2:$A$87</c:f>
              <c:strCache>
                <c:ptCount val="86"/>
                <c:pt idx="0">
                  <c:v>2024 10 22</c:v>
                </c:pt>
                <c:pt idx="1">
                  <c:v>2024-11-09</c:v>
                </c:pt>
                <c:pt idx="2">
                  <c:v>2025-02-12</c:v>
                </c:pt>
                <c:pt idx="3">
                  <c:v>2025-02-24</c:v>
                </c:pt>
                <c:pt idx="4">
                  <c:v>2025-04-03</c:v>
                </c:pt>
                <c:pt idx="5">
                  <c:v>2025-04-14</c:v>
                </c:pt>
                <c:pt idx="6">
                  <c:v>2025-04-22</c:v>
                </c:pt>
                <c:pt idx="7">
                  <c:v>2025-04-30</c:v>
                </c:pt>
                <c:pt idx="8">
                  <c:v>2025-05-06</c:v>
                </c:pt>
                <c:pt idx="9">
                  <c:v>2025-05-13</c:v>
                </c:pt>
                <c:pt idx="10">
                  <c:v>2025-05-17</c:v>
                </c:pt>
                <c:pt idx="11">
                  <c:v>2025-05-21</c:v>
                </c:pt>
                <c:pt idx="12">
                  <c:v>2025-05-24</c:v>
                </c:pt>
                <c:pt idx="13">
                  <c:v>2025-06-16</c:v>
                </c:pt>
                <c:pt idx="14">
                  <c:v>2025-07-01</c:v>
                </c:pt>
                <c:pt idx="15">
                  <c:v>2025-08-04</c:v>
                </c:pt>
                <c:pt idx="16">
                  <c:v>2025-08-29</c:v>
                </c:pt>
                <c:pt idx="17">
                  <c:v>2025-09-02</c:v>
                </c:pt>
                <c:pt idx="18">
                  <c:v>2025-09-03</c:v>
                </c:pt>
                <c:pt idx="19">
                  <c:v>2025-09-05</c:v>
                </c:pt>
                <c:pt idx="20">
                  <c:v>2025-09-12</c:v>
                </c:pt>
                <c:pt idx="21">
                  <c:v>2025-09-29</c:v>
                </c:pt>
                <c:pt idx="22">
                  <c:v>2025-10-01</c:v>
                </c:pt>
                <c:pt idx="23">
                  <c:v>2025-10-07</c:v>
                </c:pt>
                <c:pt idx="24">
                  <c:v>2025-10-17</c:v>
                </c:pt>
                <c:pt idx="25">
                  <c:v>2025-10-28</c:v>
                </c:pt>
                <c:pt idx="26">
                  <c:v>2025-11-14</c:v>
                </c:pt>
                <c:pt idx="27">
                  <c:v>2025-11-27</c:v>
                </c:pt>
                <c:pt idx="28">
                  <c:v>2025-12-04</c:v>
                </c:pt>
                <c:pt idx="29">
                  <c:v>2025-12-07</c:v>
                </c:pt>
                <c:pt idx="30">
                  <c:v>2025-12-09</c:v>
                </c:pt>
                <c:pt idx="31">
                  <c:v>2025-12-27</c:v>
                </c:pt>
                <c:pt idx="32">
                  <c:v>2026-01-05</c:v>
                </c:pt>
                <c:pt idx="33">
                  <c:v>2026-01-07</c:v>
                </c:pt>
                <c:pt idx="34">
                  <c:v>2026-01-21</c:v>
                </c:pt>
                <c:pt idx="35">
                  <c:v>2026-02-02</c:v>
                </c:pt>
                <c:pt idx="36">
                  <c:v>2026-02-06</c:v>
                </c:pt>
                <c:pt idx="37">
                  <c:v>2026-02-16</c:v>
                </c:pt>
                <c:pt idx="38">
                  <c:v>2026-02-17</c:v>
                </c:pt>
                <c:pt idx="39">
                  <c:v>2026-03-07</c:v>
                </c:pt>
                <c:pt idx="40">
                  <c:v>2026-03-18</c:v>
                </c:pt>
                <c:pt idx="41">
                  <c:v>2026-03-22</c:v>
                </c:pt>
                <c:pt idx="42">
                  <c:v>2026-03-26</c:v>
                </c:pt>
                <c:pt idx="43">
                  <c:v>2026-03-27</c:v>
                </c:pt>
                <c:pt idx="44">
                  <c:v>2026-03-28</c:v>
                </c:pt>
                <c:pt idx="45">
                  <c:v>2026-03-30</c:v>
                </c:pt>
                <c:pt idx="46">
                  <c:v>2026-04-02</c:v>
                </c:pt>
                <c:pt idx="47">
                  <c:v>2026-04-07</c:v>
                </c:pt>
                <c:pt idx="48">
                  <c:v>2026-04-09</c:v>
                </c:pt>
                <c:pt idx="49">
                  <c:v>2026-04-10</c:v>
                </c:pt>
                <c:pt idx="50">
                  <c:v>2026-04-11</c:v>
                </c:pt>
                <c:pt idx="51">
                  <c:v>2026-04-14</c:v>
                </c:pt>
                <c:pt idx="52">
                  <c:v>2026-04-17</c:v>
                </c:pt>
                <c:pt idx="53">
                  <c:v>2026-04-18</c:v>
                </c:pt>
                <c:pt idx="54">
                  <c:v>2026-04-21</c:v>
                </c:pt>
                <c:pt idx="55">
                  <c:v>2026-04-23</c:v>
                </c:pt>
                <c:pt idx="56">
                  <c:v>2026-04-27</c:v>
                </c:pt>
                <c:pt idx="57">
                  <c:v>2026-04-28</c:v>
                </c:pt>
                <c:pt idx="58">
                  <c:v>2026-04-30</c:v>
                </c:pt>
                <c:pt idx="59">
                  <c:v>2026-05-05</c:v>
                </c:pt>
                <c:pt idx="60">
                  <c:v>2026-05-07</c:v>
                </c:pt>
                <c:pt idx="61">
                  <c:v>2026-05-08</c:v>
                </c:pt>
                <c:pt idx="62">
                  <c:v>2026-05-13</c:v>
                </c:pt>
                <c:pt idx="63">
                  <c:v>2026-05-17</c:v>
                </c:pt>
                <c:pt idx="64">
                  <c:v>2026-05-20</c:v>
                </c:pt>
                <c:pt idx="65">
                  <c:v>2026-05-24</c:v>
                </c:pt>
                <c:pt idx="66">
                  <c:v>2026-05-29</c:v>
                </c:pt>
                <c:pt idx="67">
                  <c:v>2026-05-30</c:v>
                </c:pt>
                <c:pt idx="68">
                  <c:v>2026-06-07</c:v>
                </c:pt>
                <c:pt idx="69">
                  <c:v>2026-06-08</c:v>
                </c:pt>
                <c:pt idx="70">
                  <c:v>2026-06-10</c:v>
                </c:pt>
                <c:pt idx="71">
                  <c:v>2026-06-13</c:v>
                </c:pt>
                <c:pt idx="72">
                  <c:v>2026-06-15</c:v>
                </c:pt>
                <c:pt idx="73">
                  <c:v>2026-06-16</c:v>
                </c:pt>
                <c:pt idx="74">
                  <c:v>2026-06-17</c:v>
                </c:pt>
                <c:pt idx="75">
                  <c:v>2026-06-18</c:v>
                </c:pt>
                <c:pt idx="76">
                  <c:v>2026-06-24</c:v>
                </c:pt>
                <c:pt idx="77">
                  <c:v>2026-07-03</c:v>
                </c:pt>
                <c:pt idx="78">
                  <c:v>2026-07-08</c:v>
                </c:pt>
                <c:pt idx="79">
                  <c:v>2026-07-11</c:v>
                </c:pt>
                <c:pt idx="80">
                  <c:v>2026-07-18</c:v>
                </c:pt>
                <c:pt idx="81">
                  <c:v>2026-07-25</c:v>
                </c:pt>
                <c:pt idx="82">
                  <c:v>2026-07-28</c:v>
                </c:pt>
                <c:pt idx="83">
                  <c:v>2026-07-31</c:v>
                </c:pt>
                <c:pt idx="84">
                  <c:v>2026-08-04</c:v>
                </c:pt>
                <c:pt idx="85">
                  <c:v>2026-08-06</c:v>
                </c:pt>
              </c:strCache>
            </c:strRef>
          </c:cat>
          <c:val>
            <c:numRef>
              <c:f>'Overall Tracker'!$B$2:$B$87</c:f>
              <c:numCache>
                <c:formatCode>0</c:formatCode>
                <c:ptCount val="86"/>
                <c:pt idx="0">
                  <c:v>825470.19</c:v>
                </c:pt>
                <c:pt idx="1">
                  <c:v>739946</c:v>
                </c:pt>
                <c:pt idx="2">
                  <c:v>865516</c:v>
                </c:pt>
                <c:pt idx="3">
                  <c:v>914660</c:v>
                </c:pt>
                <c:pt idx="4">
                  <c:v>1037602</c:v>
                </c:pt>
                <c:pt idx="5">
                  <c:v>1017155</c:v>
                </c:pt>
                <c:pt idx="6">
                  <c:v>1080026</c:v>
                </c:pt>
                <c:pt idx="7">
                  <c:v>1087073</c:v>
                </c:pt>
                <c:pt idx="8">
                  <c:v>1121869</c:v>
                </c:pt>
                <c:pt idx="9">
                  <c:v>1253838</c:v>
                </c:pt>
                <c:pt idx="10">
                  <c:v>1262236</c:v>
                </c:pt>
                <c:pt idx="11">
                  <c:v>1304591</c:v>
                </c:pt>
                <c:pt idx="12">
                  <c:v>1314161</c:v>
                </c:pt>
                <c:pt idx="13">
                  <c:v>737647</c:v>
                </c:pt>
                <c:pt idx="14">
                  <c:v>759470</c:v>
                </c:pt>
                <c:pt idx="15">
                  <c:v>947337</c:v>
                </c:pt>
                <c:pt idx="16">
                  <c:v>948920</c:v>
                </c:pt>
                <c:pt idx="17">
                  <c:v>1006961</c:v>
                </c:pt>
                <c:pt idx="18">
                  <c:v>1004841</c:v>
                </c:pt>
                <c:pt idx="19">
                  <c:v>1041112</c:v>
                </c:pt>
                <c:pt idx="20">
                  <c:v>1051610</c:v>
                </c:pt>
                <c:pt idx="21">
                  <c:v>1039414</c:v>
                </c:pt>
                <c:pt idx="22">
                  <c:v>1137219</c:v>
                </c:pt>
                <c:pt idx="23">
                  <c:v>1157224</c:v>
                </c:pt>
                <c:pt idx="24">
                  <c:v>1178207</c:v>
                </c:pt>
                <c:pt idx="25">
                  <c:v>1195286</c:v>
                </c:pt>
                <c:pt idx="26">
                  <c:v>1190855</c:v>
                </c:pt>
                <c:pt idx="27">
                  <c:v>1204314</c:v>
                </c:pt>
                <c:pt idx="28">
                  <c:v>1255548</c:v>
                </c:pt>
                <c:pt idx="29">
                  <c:v>1262212</c:v>
                </c:pt>
                <c:pt idx="30">
                  <c:v>1290756</c:v>
                </c:pt>
                <c:pt idx="31">
                  <c:v>1292511</c:v>
                </c:pt>
                <c:pt idx="32">
                  <c:v>1357952</c:v>
                </c:pt>
                <c:pt idx="33">
                  <c:v>1366148</c:v>
                </c:pt>
                <c:pt idx="34">
                  <c:v>1360766</c:v>
                </c:pt>
                <c:pt idx="35">
                  <c:v>1363933</c:v>
                </c:pt>
                <c:pt idx="36">
                  <c:v>1385104</c:v>
                </c:pt>
                <c:pt idx="37">
                  <c:v>1377981</c:v>
                </c:pt>
                <c:pt idx="38">
                  <c:v>1421039</c:v>
                </c:pt>
                <c:pt idx="39">
                  <c:v>1355199</c:v>
                </c:pt>
                <c:pt idx="40">
                  <c:v>1306342</c:v>
                </c:pt>
                <c:pt idx="41">
                  <c:v>1282635</c:v>
                </c:pt>
                <c:pt idx="42">
                  <c:v>1295282</c:v>
                </c:pt>
                <c:pt idx="43">
                  <c:v>1345279</c:v>
                </c:pt>
                <c:pt idx="44">
                  <c:v>1318332</c:v>
                </c:pt>
                <c:pt idx="45">
                  <c:v>1290971</c:v>
                </c:pt>
                <c:pt idx="46">
                  <c:v>1413310</c:v>
                </c:pt>
                <c:pt idx="47">
                  <c:v>1431208</c:v>
                </c:pt>
                <c:pt idx="48">
                  <c:v>1486816</c:v>
                </c:pt>
                <c:pt idx="49">
                  <c:v>1474151</c:v>
                </c:pt>
                <c:pt idx="50">
                  <c:v>1489430</c:v>
                </c:pt>
                <c:pt idx="51">
                  <c:v>1481976</c:v>
                </c:pt>
                <c:pt idx="52">
                  <c:v>1503237</c:v>
                </c:pt>
                <c:pt idx="53">
                  <c:v>1512255</c:v>
                </c:pt>
                <c:pt idx="54">
                  <c:v>1523394</c:v>
                </c:pt>
                <c:pt idx="55">
                  <c:v>1501140</c:v>
                </c:pt>
                <c:pt idx="56">
                  <c:v>1784369</c:v>
                </c:pt>
                <c:pt idx="57">
                  <c:v>1798320</c:v>
                </c:pt>
                <c:pt idx="58">
                  <c:v>1802957</c:v>
                </c:pt>
                <c:pt idx="59">
                  <c:v>1251084</c:v>
                </c:pt>
                <c:pt idx="60">
                  <c:v>1262565</c:v>
                </c:pt>
                <c:pt idx="61">
                  <c:v>1302563</c:v>
                </c:pt>
                <c:pt idx="62">
                  <c:v>1253493</c:v>
                </c:pt>
                <c:pt idx="63">
                  <c:v>1265447</c:v>
                </c:pt>
                <c:pt idx="64">
                  <c:v>1263500</c:v>
                </c:pt>
                <c:pt idx="65">
                  <c:v>1273676</c:v>
                </c:pt>
                <c:pt idx="66">
                  <c:v>1333127</c:v>
                </c:pt>
                <c:pt idx="67">
                  <c:v>1316339</c:v>
                </c:pt>
                <c:pt idx="68">
                  <c:v>1308041</c:v>
                </c:pt>
                <c:pt idx="69">
                  <c:v>1305492</c:v>
                </c:pt>
                <c:pt idx="70">
                  <c:v>1313170</c:v>
                </c:pt>
                <c:pt idx="71">
                  <c:v>1334961</c:v>
                </c:pt>
                <c:pt idx="72">
                  <c:v>1348442</c:v>
                </c:pt>
                <c:pt idx="73">
                  <c:v>1356354</c:v>
                </c:pt>
                <c:pt idx="74">
                  <c:v>1362354</c:v>
                </c:pt>
                <c:pt idx="75">
                  <c:v>1366738</c:v>
                </c:pt>
                <c:pt idx="76">
                  <c:v>1365274</c:v>
                </c:pt>
                <c:pt idx="77">
                  <c:v>1377643</c:v>
                </c:pt>
                <c:pt idx="78">
                  <c:v>1383788</c:v>
                </c:pt>
                <c:pt idx="79">
                  <c:v>1375390</c:v>
                </c:pt>
                <c:pt idx="80">
                  <c:v>1380795</c:v>
                </c:pt>
                <c:pt idx="81">
                  <c:v>1374871</c:v>
                </c:pt>
                <c:pt idx="82">
                  <c:v>1367227</c:v>
                </c:pt>
                <c:pt idx="83">
                  <c:v>1383580</c:v>
                </c:pt>
                <c:pt idx="84">
                  <c:v>1409494</c:v>
                </c:pt>
                <c:pt idx="85">
                  <c:v>1305742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5575027"/>
        <c:axId val="51258905"/>
      </c:lineChart>
      <c:catAx>
        <c:axId val="85575027"/>
        <c:scaling>
          <c:orientation val="minMax"/>
        </c:scaling>
        <c:delete val="0"/>
        <c:axPos val="b"/>
        <c:numFmt formatCode="yyyy\ m\ d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1258905"/>
        <c:crosses val="autoZero"/>
        <c:auto val="1"/>
        <c:lblAlgn val="ctr"/>
        <c:lblOffset val="100"/>
        <c:noMultiLvlLbl val="0"/>
      </c:catAx>
      <c:valAx>
        <c:axId val="512589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557502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264240</xdr:colOff>
      <xdr:row>7</xdr:row>
      <xdr:rowOff>122400</xdr:rowOff>
    </xdr:from>
    <xdr:to>
      <xdr:col>24</xdr:col>
      <xdr:colOff>725760</xdr:colOff>
      <xdr:row>35</xdr:row>
      <xdr:rowOff>189000</xdr:rowOff>
    </xdr:to>
    <xdr:graphicFrame>
      <xdr:nvGraphicFramePr>
        <xdr:cNvPr id="0" name=""/>
        <xdr:cNvGraphicFramePr/>
      </xdr:nvGraphicFramePr>
      <xdr:xfrm>
        <a:off x="6124680" y="1522440"/>
        <a:ext cx="12863520" cy="566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R39" activeCellId="0" sqref="R3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1.86"/>
    <col collapsed="false" customWidth="true" hidden="false" outlineLevel="0" max="2" min="2" style="1" width="9.88"/>
    <col collapsed="false" customWidth="true" hidden="false" outlineLevel="0" max="3" min="3" style="1" width="10.38"/>
    <col collapsed="false" customWidth="true" hidden="false" outlineLevel="0" max="4" min="4" style="1" width="9.88"/>
    <col collapsed="false" customWidth="true" hidden="false" outlineLevel="0" max="5" min="5" style="1" width="8"/>
    <col collapsed="false" customWidth="true" hidden="false" outlineLevel="0" max="6" min="6" style="1" width="5.51"/>
    <col collapsed="false" customWidth="true" hidden="false" outlineLevel="0" max="7" min="7" style="1" width="7.25"/>
    <col collapsed="false" customWidth="true" hidden="false" outlineLevel="0" max="8" min="8" style="1" width="9.75"/>
    <col collapsed="false" customWidth="true" hidden="false" outlineLevel="0" max="9" min="9" style="1" width="10.63"/>
    <col collapsed="false" customWidth="true" hidden="false" outlineLevel="0" max="10" min="10" style="1" width="7.5"/>
    <col collapsed="false" customWidth="true" hidden="false" outlineLevel="0" max="11" min="11" style="1" width="8.25"/>
    <col collapsed="false" customWidth="true" hidden="false" outlineLevel="0" max="12" min="12" style="1" width="7.75"/>
    <col collapsed="false" customWidth="false" hidden="false" outlineLevel="0" max="13" min="13" style="1" width="12.63"/>
    <col collapsed="false" customWidth="true" hidden="false" outlineLevel="0" max="14" min="14" style="1" width="13.35"/>
    <col collapsed="false" customWidth="true" hidden="false" outlineLevel="0" max="15" min="15" style="1" width="12.79"/>
    <col collapsed="false" customWidth="false" hidden="false" outlineLevel="0" max="16384" min="16" style="1" width="12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customFormat="false" ht="15.75" hidden="false" customHeight="false" outlineLevel="0" collapsed="false">
      <c r="A2" s="5" t="n">
        <v>45587</v>
      </c>
      <c r="B2" s="3" t="n">
        <v>825470.19</v>
      </c>
      <c r="C2" s="3" t="n">
        <v>79028.76</v>
      </c>
      <c r="D2" s="3" t="n">
        <v>746441.43</v>
      </c>
      <c r="E2" s="2" t="s">
        <v>12</v>
      </c>
      <c r="F2" s="2" t="s">
        <v>12</v>
      </c>
      <c r="G2" s="2" t="n">
        <v>95</v>
      </c>
      <c r="H2" s="2" t="s">
        <v>12</v>
      </c>
      <c r="I2" s="2" t="s">
        <v>12</v>
      </c>
      <c r="J2" s="2" t="s">
        <v>13</v>
      </c>
      <c r="K2" s="2" t="s">
        <v>13</v>
      </c>
      <c r="L2" s="2" t="s">
        <v>13</v>
      </c>
    </row>
    <row r="3" customFormat="false" ht="15.75" hidden="false" customHeight="false" outlineLevel="0" collapsed="false">
      <c r="A3" s="6" t="n">
        <v>45605</v>
      </c>
      <c r="B3" s="3" t="n">
        <v>739946</v>
      </c>
      <c r="C3" s="3" t="n">
        <v>59101</v>
      </c>
      <c r="D3" s="3" t="n">
        <v>680845</v>
      </c>
      <c r="E3" s="2" t="n">
        <v>8.68</v>
      </c>
      <c r="F3" s="2" t="s">
        <v>12</v>
      </c>
      <c r="G3" s="2" t="n">
        <v>95</v>
      </c>
      <c r="H3" s="7" t="n">
        <f aca="false">ROUND((C3-C2)/(A3-A2),0)</f>
        <v>-1107</v>
      </c>
      <c r="I3" s="7" t="n">
        <f aca="false">ROUND((C3-79029)/(A3-DATE(2024,10,22)),0)</f>
        <v>-1107</v>
      </c>
      <c r="J3" s="2" t="s">
        <v>13</v>
      </c>
      <c r="K3" s="2" t="s">
        <v>13</v>
      </c>
      <c r="L3" s="2" t="s">
        <v>13</v>
      </c>
      <c r="N3" s="8" t="s">
        <v>14</v>
      </c>
      <c r="O3" s="9"/>
    </row>
    <row r="4" customFormat="false" ht="15.75" hidden="false" customHeight="false" outlineLevel="0" collapsed="false">
      <c r="A4" s="6" t="n">
        <v>45700</v>
      </c>
      <c r="B4" s="3" t="n">
        <v>865516</v>
      </c>
      <c r="C4" s="3" t="n">
        <v>18170</v>
      </c>
      <c r="D4" s="3" t="n">
        <v>847345</v>
      </c>
      <c r="E4" s="2" t="n">
        <v>2.14</v>
      </c>
      <c r="F4" s="7" t="n">
        <f aca="false">DATEDIF(A3,A4,"d")</f>
        <v>95</v>
      </c>
      <c r="G4" s="7" t="n">
        <v>95</v>
      </c>
      <c r="H4" s="7" t="n">
        <f aca="false">ROUND((C4-C3)/(A4-A3),0)</f>
        <v>-431</v>
      </c>
      <c r="I4" s="7" t="n">
        <f aca="false">ROUND((C4-79029)/(A4-DATE(2024,10,22)),0)</f>
        <v>-539</v>
      </c>
      <c r="J4" s="2" t="s">
        <v>13</v>
      </c>
      <c r="K4" s="2" t="s">
        <v>13</v>
      </c>
      <c r="L4" s="2" t="s">
        <v>13</v>
      </c>
      <c r="M4" s="10"/>
      <c r="N4" s="11" t="s">
        <v>15</v>
      </c>
      <c r="O4" s="12" t="n">
        <f aca="false">IFERROR(__xludf.dummyfunction("round(SLOPE(
  FILTER(VALUE(SUBSTITUTE(B2:B1000, "","", """")), A2:A1000 &lt;&gt; """"),
  FILTER(DATEVALUE(SUBSTITUTE(A2:A1000, "" "", ""-"")), A2:A1000 &lt;&gt; """")
))"),936)</f>
        <v>936</v>
      </c>
    </row>
    <row r="5" customFormat="false" ht="15.75" hidden="false" customHeight="false" outlineLevel="0" collapsed="false">
      <c r="A5" s="6" t="n">
        <v>45712</v>
      </c>
      <c r="B5" s="13" t="n">
        <v>914660</v>
      </c>
      <c r="C5" s="3" t="n">
        <v>7314</v>
      </c>
      <c r="D5" s="3" t="n">
        <v>907345</v>
      </c>
      <c r="E5" s="2" t="n">
        <v>0.81</v>
      </c>
      <c r="F5" s="7" t="n">
        <f aca="false">DATEDIF(A4,A5,"d")</f>
        <v>12</v>
      </c>
      <c r="G5" s="7" t="n">
        <v>12</v>
      </c>
      <c r="H5" s="7" t="n">
        <f aca="false">ROUND((C5-C4)/(A5-A4),0)</f>
        <v>-905</v>
      </c>
      <c r="I5" s="7" t="n">
        <f aca="false">ROUND((C5-79029)/(A5-DATE(2024,10,22)),0)</f>
        <v>-574</v>
      </c>
      <c r="J5" s="2" t="s">
        <v>13</v>
      </c>
      <c r="K5" s="2" t="s">
        <v>13</v>
      </c>
      <c r="L5" s="2" t="s">
        <v>13</v>
      </c>
      <c r="N5" s="14" t="s">
        <v>16</v>
      </c>
      <c r="O5" s="15" t="n">
        <f aca="false">IFERROR(__xludf.dummyfunction("round(INTERCEPT(
  FILTER(VALUE(SUBSTITUTE(B2:B1000, "","", """")), A2:A1000 &lt;&gt; """"),
  FILTER(DATEVALUE(SUBSTITUTE(A2:A1000, "" "", ""-"")), A2:A1000 &lt;&gt; """")
))"),-41800508)</f>
        <v>-41800508</v>
      </c>
    </row>
    <row r="6" customFormat="false" ht="15.75" hidden="false" customHeight="false" outlineLevel="0" collapsed="false">
      <c r="A6" s="6" t="n">
        <v>45750</v>
      </c>
      <c r="B6" s="2" t="n">
        <v>1037602</v>
      </c>
      <c r="C6" s="3" t="n">
        <v>30256</v>
      </c>
      <c r="D6" s="3" t="n">
        <v>1007345</v>
      </c>
      <c r="E6" s="2" t="n">
        <v>3</v>
      </c>
      <c r="F6" s="7" t="n">
        <f aca="false">DATEDIF(A5,A6,"d")</f>
        <v>38</v>
      </c>
      <c r="G6" s="7" t="n">
        <v>38</v>
      </c>
      <c r="H6" s="7" t="n">
        <f aca="false">ROUND((C6-C5)/(A6-A5),0)</f>
        <v>604</v>
      </c>
      <c r="I6" s="7" t="n">
        <f aca="false">ROUND((C6-79029)/(A6-DATE(2024,10,22)),0)</f>
        <v>-299</v>
      </c>
      <c r="J6" s="2" t="s">
        <v>13</v>
      </c>
      <c r="K6" s="2" t="s">
        <v>13</v>
      </c>
      <c r="L6" s="2" t="s">
        <v>13</v>
      </c>
    </row>
    <row r="7" customFormat="false" ht="15.75" hidden="false" customHeight="false" outlineLevel="0" collapsed="false">
      <c r="A7" s="6" t="n">
        <v>45761</v>
      </c>
      <c r="B7" s="2" t="n">
        <v>1017155</v>
      </c>
      <c r="C7" s="3" t="n">
        <v>9810</v>
      </c>
      <c r="D7" s="3" t="n">
        <v>1007345</v>
      </c>
      <c r="E7" s="2" t="n">
        <v>0.97</v>
      </c>
      <c r="F7" s="2" t="s">
        <v>12</v>
      </c>
      <c r="G7" s="2" t="n">
        <v>38</v>
      </c>
      <c r="H7" s="7" t="n">
        <f aca="false">ROUND((C7-C6)/(A7-A6),0)</f>
        <v>-1859</v>
      </c>
      <c r="I7" s="7" t="n">
        <f aca="false">ROUND((C7-79029)/(A7-DATE(2024,10,22)),0)</f>
        <v>-398</v>
      </c>
      <c r="J7" s="2" t="s">
        <v>13</v>
      </c>
      <c r="K7" s="2" t="s">
        <v>13</v>
      </c>
      <c r="L7" s="2" t="s">
        <v>13</v>
      </c>
    </row>
    <row r="8" customFormat="false" ht="15.75" hidden="false" customHeight="false" outlineLevel="0" collapsed="false">
      <c r="A8" s="6" t="n">
        <v>45769</v>
      </c>
      <c r="B8" s="2" t="n">
        <v>1080026</v>
      </c>
      <c r="C8" s="3" t="n">
        <v>67681</v>
      </c>
      <c r="D8" s="3" t="n">
        <v>1012345</v>
      </c>
      <c r="E8" s="2" t="n">
        <v>6.69</v>
      </c>
      <c r="F8" s="2" t="s">
        <v>12</v>
      </c>
      <c r="G8" s="2" t="n">
        <v>38</v>
      </c>
      <c r="H8" s="7" t="n">
        <f aca="false">ROUND((C8-C7)/(A8-A7),0)</f>
        <v>7234</v>
      </c>
      <c r="I8" s="7" t="n">
        <f aca="false">ROUND((C8-79029)/(A8-DATE(2024,10,22)),0)</f>
        <v>-62</v>
      </c>
      <c r="J8" s="2" t="s">
        <v>13</v>
      </c>
      <c r="K8" s="2" t="s">
        <v>13</v>
      </c>
      <c r="L8" s="2" t="s">
        <v>13</v>
      </c>
    </row>
    <row r="9" customFormat="false" ht="15.75" hidden="false" customHeight="false" outlineLevel="0" collapsed="false">
      <c r="A9" s="6" t="n">
        <v>45777</v>
      </c>
      <c r="B9" s="2" t="n">
        <v>1087073</v>
      </c>
      <c r="C9" s="3" t="n">
        <v>74727</v>
      </c>
      <c r="D9" s="3" t="n">
        <v>1012345</v>
      </c>
      <c r="E9" s="2" t="n">
        <v>7.38</v>
      </c>
      <c r="F9" s="2" t="s">
        <v>12</v>
      </c>
      <c r="G9" s="2" t="n">
        <v>38</v>
      </c>
      <c r="H9" s="7" t="n">
        <f aca="false">ROUND((C9-C8)/(A9-A8),0)</f>
        <v>881</v>
      </c>
      <c r="I9" s="7" t="n">
        <f aca="false">ROUND((C9-79029)/(A9-DATE(2024,10,22)),0)</f>
        <v>-23</v>
      </c>
      <c r="J9" s="2" t="s">
        <v>13</v>
      </c>
      <c r="K9" s="2" t="s">
        <v>13</v>
      </c>
      <c r="L9" s="2" t="s">
        <v>13</v>
      </c>
    </row>
    <row r="10" customFormat="false" ht="15.75" hidden="false" customHeight="false" outlineLevel="0" collapsed="false">
      <c r="A10" s="6" t="n">
        <v>45783</v>
      </c>
      <c r="B10" s="2" t="n">
        <v>1121869</v>
      </c>
      <c r="C10" s="3" t="n">
        <v>79523</v>
      </c>
      <c r="D10" s="3" t="n">
        <v>1042345</v>
      </c>
      <c r="E10" s="2" t="n">
        <v>7.63</v>
      </c>
      <c r="F10" s="2" t="n">
        <f aca="false">DATEDIF(A6,A10,"d")</f>
        <v>33</v>
      </c>
      <c r="G10" s="2" t="n">
        <v>33</v>
      </c>
      <c r="H10" s="7" t="n">
        <f aca="false">ROUND((C10-C9)/(A10-A9),0)</f>
        <v>799</v>
      </c>
      <c r="I10" s="7" t="n">
        <f aca="false">ROUND((C10-79029)/(A10-DATE(2024,10,22)),0)</f>
        <v>3</v>
      </c>
      <c r="J10" s="2" t="s">
        <v>13</v>
      </c>
      <c r="K10" s="2" t="s">
        <v>13</v>
      </c>
      <c r="L10" s="2" t="s">
        <v>13</v>
      </c>
    </row>
    <row r="11" customFormat="false" ht="15.75" hidden="false" customHeight="false" outlineLevel="0" collapsed="false">
      <c r="A11" s="6" t="n">
        <v>45790</v>
      </c>
      <c r="B11" s="2" t="n">
        <v>1253838</v>
      </c>
      <c r="C11" s="3" t="n">
        <v>96492</v>
      </c>
      <c r="D11" s="3" t="n">
        <v>1157345</v>
      </c>
      <c r="E11" s="2" t="n">
        <v>8.34</v>
      </c>
      <c r="F11" s="7" t="n">
        <f aca="false">DATEDIF(A10,A11,"d")</f>
        <v>7</v>
      </c>
      <c r="G11" s="7" t="n">
        <v>7</v>
      </c>
      <c r="H11" s="7" t="n">
        <f aca="false">ROUND((C11-C10)/(A11-A10),0)</f>
        <v>2424</v>
      </c>
      <c r="I11" s="7" t="n">
        <f aca="false">ROUND((C11-79029)/(A11-DATE(2024,10,22)),0)</f>
        <v>86</v>
      </c>
      <c r="J11" s="2" t="s">
        <v>13</v>
      </c>
      <c r="K11" s="2" t="s">
        <v>13</v>
      </c>
      <c r="L11" s="2" t="s">
        <v>13</v>
      </c>
    </row>
    <row r="12" customFormat="false" ht="15.75" hidden="false" customHeight="false" outlineLevel="0" collapsed="false">
      <c r="A12" s="6" t="n">
        <v>45794</v>
      </c>
      <c r="B12" s="2" t="n">
        <v>1262236</v>
      </c>
      <c r="C12" s="3" t="n">
        <v>104891</v>
      </c>
      <c r="D12" s="3" t="n">
        <v>1157345</v>
      </c>
      <c r="E12" s="2" t="n">
        <v>9.06</v>
      </c>
      <c r="F12" s="2" t="s">
        <v>12</v>
      </c>
      <c r="G12" s="2" t="n">
        <v>7</v>
      </c>
      <c r="H12" s="7" t="n">
        <f aca="false">ROUND((C12-C11)/(A12-A11),0)</f>
        <v>2100</v>
      </c>
      <c r="I12" s="7" t="n">
        <f aca="false">ROUND((C12-79029)/(A12-DATE(2024,10,22)),0)</f>
        <v>125</v>
      </c>
      <c r="J12" s="2" t="s">
        <v>13</v>
      </c>
      <c r="K12" s="2" t="s">
        <v>13</v>
      </c>
      <c r="L12" s="2" t="s">
        <v>13</v>
      </c>
    </row>
    <row r="13" customFormat="false" ht="15.75" hidden="false" customHeight="false" outlineLevel="0" collapsed="false">
      <c r="A13" s="6" t="n">
        <v>45798</v>
      </c>
      <c r="B13" s="2" t="n">
        <v>1304591</v>
      </c>
      <c r="C13" s="3" t="n">
        <v>87246</v>
      </c>
      <c r="D13" s="3" t="n">
        <v>1217345</v>
      </c>
      <c r="E13" s="2" t="n">
        <v>7.17</v>
      </c>
      <c r="F13" s="7" t="n">
        <f aca="false">DATEDIF(A11,A13,"d")</f>
        <v>8</v>
      </c>
      <c r="G13" s="2" t="n">
        <v>8</v>
      </c>
      <c r="H13" s="7" t="n">
        <f aca="false">ROUND((C13-C12)/(A13-A12),0)</f>
        <v>-4411</v>
      </c>
      <c r="I13" s="7" t="n">
        <f aca="false">ROUND((C13-79029)/(A13-DATE(2024,10,22)),0)</f>
        <v>39</v>
      </c>
      <c r="J13" s="2" t="s">
        <v>13</v>
      </c>
      <c r="K13" s="2" t="s">
        <v>13</v>
      </c>
      <c r="L13" s="2" t="s">
        <v>13</v>
      </c>
    </row>
    <row r="14" customFormat="false" ht="15.75" hidden="false" customHeight="false" outlineLevel="0" collapsed="false">
      <c r="A14" s="6" t="n">
        <v>45801</v>
      </c>
      <c r="B14" s="2" t="n">
        <v>1314161</v>
      </c>
      <c r="C14" s="3" t="n">
        <v>96816</v>
      </c>
      <c r="D14" s="3" t="n">
        <v>1217345</v>
      </c>
      <c r="E14" s="2" t="n">
        <v>7.95</v>
      </c>
      <c r="F14" s="2" t="s">
        <v>12</v>
      </c>
      <c r="G14" s="2" t="n">
        <v>8</v>
      </c>
      <c r="H14" s="7" t="n">
        <f aca="false">ROUND((C14-C13)/(A14-A13),0)</f>
        <v>3190</v>
      </c>
      <c r="I14" s="7" t="n">
        <f aca="false">ROUND((C14-79029)/(A14-DATE(2024,10,22)),0)</f>
        <v>83</v>
      </c>
      <c r="J14" s="2" t="s">
        <v>13</v>
      </c>
      <c r="K14" s="2" t="s">
        <v>13</v>
      </c>
      <c r="L14" s="2" t="s">
        <v>13</v>
      </c>
    </row>
    <row r="15" customFormat="false" ht="15.75" hidden="false" customHeight="false" outlineLevel="0" collapsed="false">
      <c r="A15" s="6" t="n">
        <v>45824</v>
      </c>
      <c r="B15" s="2" t="n">
        <v>737647</v>
      </c>
      <c r="C15" s="3" t="n">
        <v>82513</v>
      </c>
      <c r="D15" s="3" t="n">
        <v>655134</v>
      </c>
      <c r="E15" s="2" t="n">
        <v>12.59</v>
      </c>
      <c r="F15" s="2" t="s">
        <v>12</v>
      </c>
      <c r="G15" s="2" t="n">
        <v>8</v>
      </c>
      <c r="H15" s="7" t="n">
        <f aca="false">ROUND((C15-C14)/(A15-A14),0)</f>
        <v>-622</v>
      </c>
      <c r="I15" s="7" t="n">
        <f aca="false">ROUND((C15-79029)/(A15-DATE(2024,10,22)),0)</f>
        <v>15</v>
      </c>
      <c r="J15" s="2" t="s">
        <v>13</v>
      </c>
      <c r="K15" s="2" t="s">
        <v>13</v>
      </c>
      <c r="L15" s="2" t="s">
        <v>13</v>
      </c>
    </row>
    <row r="16" customFormat="false" ht="15.75" hidden="false" customHeight="false" outlineLevel="0" collapsed="false">
      <c r="A16" s="6" t="n">
        <v>45839</v>
      </c>
      <c r="B16" s="2" t="n">
        <v>759470</v>
      </c>
      <c r="C16" s="3" t="n">
        <v>104337</v>
      </c>
      <c r="D16" s="3" t="n">
        <v>655134</v>
      </c>
      <c r="E16" s="2" t="n">
        <v>15.93</v>
      </c>
      <c r="F16" s="2" t="s">
        <v>12</v>
      </c>
      <c r="G16" s="2" t="n">
        <v>8</v>
      </c>
      <c r="H16" s="7" t="n">
        <f aca="false">ROUND((C16-C15)/(A16-A15),0)</f>
        <v>1455</v>
      </c>
      <c r="I16" s="7" t="n">
        <f aca="false">ROUND((C16-79029)/(A16-DATE(2024,10,22)),0)</f>
        <v>100</v>
      </c>
      <c r="J16" s="2" t="s">
        <v>13</v>
      </c>
      <c r="K16" s="2" t="s">
        <v>13</v>
      </c>
      <c r="L16" s="2" t="s">
        <v>13</v>
      </c>
    </row>
    <row r="17" customFormat="false" ht="15.75" hidden="false" customHeight="false" outlineLevel="0" collapsed="false">
      <c r="A17" s="6" t="n">
        <v>45873</v>
      </c>
      <c r="B17" s="2" t="n">
        <v>947337</v>
      </c>
      <c r="C17" s="3" t="n">
        <v>76203</v>
      </c>
      <c r="D17" s="3" t="n">
        <v>871134</v>
      </c>
      <c r="E17" s="2" t="n">
        <v>8.75</v>
      </c>
      <c r="F17" s="7" t="n">
        <f aca="false">DATEDIF(A16,A17,"d")</f>
        <v>34</v>
      </c>
      <c r="G17" s="2" t="n">
        <v>34</v>
      </c>
      <c r="H17" s="7" t="n">
        <f aca="false">ROUND((C17-C16)/(A17-A16),0)</f>
        <v>-827</v>
      </c>
      <c r="I17" s="7" t="n">
        <f aca="false">ROUND((C17-79029)/(A17-DATE(2024,10,22)),0)</f>
        <v>-10</v>
      </c>
      <c r="J17" s="2" t="s">
        <v>13</v>
      </c>
      <c r="K17" s="2" t="s">
        <v>13</v>
      </c>
      <c r="L17" s="2" t="s">
        <v>13</v>
      </c>
    </row>
    <row r="18" customFormat="false" ht="15.75" hidden="false" customHeight="false" outlineLevel="0" collapsed="false">
      <c r="A18" s="6" t="n">
        <v>45898</v>
      </c>
      <c r="B18" s="2" t="n">
        <v>948920</v>
      </c>
      <c r="C18" s="3" t="n">
        <v>77786</v>
      </c>
      <c r="D18" s="3" t="n">
        <v>871134</v>
      </c>
      <c r="E18" s="2" t="n">
        <v>8.93</v>
      </c>
      <c r="F18" s="2" t="s">
        <v>12</v>
      </c>
      <c r="G18" s="2" t="n">
        <v>34</v>
      </c>
      <c r="H18" s="7" t="n">
        <f aca="false">ROUND((C18-C17)/(A18-A17),0)</f>
        <v>63</v>
      </c>
      <c r="I18" s="7" t="n">
        <f aca="false">ROUND((C18-79029)/(A18-DATE(2024,10,22)),0)</f>
        <v>-4</v>
      </c>
      <c r="J18" s="2" t="s">
        <v>13</v>
      </c>
      <c r="K18" s="2" t="s">
        <v>13</v>
      </c>
      <c r="L18" s="2" t="s">
        <v>13</v>
      </c>
    </row>
    <row r="19" customFormat="false" ht="15.75" hidden="false" customHeight="false" outlineLevel="0" collapsed="false">
      <c r="A19" s="6" t="n">
        <v>45902</v>
      </c>
      <c r="B19" s="2" t="n">
        <v>1006961</v>
      </c>
      <c r="C19" s="3" t="n">
        <v>81827</v>
      </c>
      <c r="D19" s="3" t="n">
        <v>925134</v>
      </c>
      <c r="E19" s="2" t="n">
        <v>8.84</v>
      </c>
      <c r="F19" s="7" t="n">
        <f aca="false">DATEDIF(A17,A19,"d")</f>
        <v>29</v>
      </c>
      <c r="G19" s="2" t="n">
        <v>29</v>
      </c>
      <c r="H19" s="7" t="n">
        <f aca="false">ROUND((C19-C18)/(A19-A18),0)</f>
        <v>1010</v>
      </c>
      <c r="I19" s="7" t="n">
        <f aca="false">ROUND((C19-79029)/(A19-DATE(2024,10,22)),0)</f>
        <v>9</v>
      </c>
      <c r="J19" s="2" t="s">
        <v>13</v>
      </c>
      <c r="K19" s="2" t="s">
        <v>13</v>
      </c>
      <c r="L19" s="2" t="s">
        <v>13</v>
      </c>
    </row>
    <row r="20" customFormat="false" ht="15.75" hidden="false" customHeight="false" outlineLevel="0" collapsed="false">
      <c r="A20" s="6" t="n">
        <v>45903</v>
      </c>
      <c r="B20" s="2" t="n">
        <v>1004841</v>
      </c>
      <c r="C20" s="3" t="n">
        <v>79707</v>
      </c>
      <c r="D20" s="3" t="n">
        <v>925134</v>
      </c>
      <c r="E20" s="2" t="n">
        <v>8.62</v>
      </c>
      <c r="F20" s="2" t="s">
        <v>12</v>
      </c>
      <c r="G20" s="2" t="n">
        <v>29</v>
      </c>
      <c r="H20" s="7" t="n">
        <f aca="false">ROUND((C20-C19)/(A20-A19),0)</f>
        <v>-2120</v>
      </c>
      <c r="I20" s="7" t="n">
        <f aca="false">ROUND((C20-79029)/(A20-DATE(2024,10,22)),0)</f>
        <v>2</v>
      </c>
      <c r="J20" s="2" t="s">
        <v>13</v>
      </c>
      <c r="K20" s="2" t="s">
        <v>13</v>
      </c>
      <c r="L20" s="2" t="s">
        <v>13</v>
      </c>
    </row>
    <row r="21" customFormat="false" ht="15.75" hidden="false" customHeight="false" outlineLevel="0" collapsed="false">
      <c r="A21" s="6" t="n">
        <v>45905</v>
      </c>
      <c r="B21" s="2" t="n">
        <v>1041112</v>
      </c>
      <c r="C21" s="3" t="n">
        <v>85978</v>
      </c>
      <c r="D21" s="3" t="n">
        <v>955134</v>
      </c>
      <c r="E21" s="2" t="n">
        <v>9</v>
      </c>
      <c r="F21" s="2" t="s">
        <v>12</v>
      </c>
      <c r="G21" s="2" t="n">
        <v>29</v>
      </c>
      <c r="H21" s="7" t="n">
        <f aca="false">ROUND((C21-C20)/(A21-A20),0)</f>
        <v>3136</v>
      </c>
      <c r="I21" s="7" t="n">
        <f aca="false">ROUND((C21-79029)/(A21-DATE(2024,10,22)),0)</f>
        <v>22</v>
      </c>
      <c r="J21" s="2" t="s">
        <v>13</v>
      </c>
      <c r="K21" s="2" t="s">
        <v>13</v>
      </c>
      <c r="L21" s="2" t="s">
        <v>13</v>
      </c>
    </row>
    <row r="22" customFormat="false" ht="15.75" hidden="false" customHeight="false" outlineLevel="0" collapsed="false">
      <c r="A22" s="6" t="n">
        <v>45912</v>
      </c>
      <c r="B22" s="2" t="n">
        <v>1051610</v>
      </c>
      <c r="C22" s="3" t="n">
        <v>96476</v>
      </c>
      <c r="D22" s="3" t="n">
        <v>955134</v>
      </c>
      <c r="E22" s="2" t="n">
        <v>10.1</v>
      </c>
      <c r="F22" s="2" t="s">
        <v>12</v>
      </c>
      <c r="G22" s="2" t="n">
        <v>29</v>
      </c>
      <c r="H22" s="7" t="n">
        <f aca="false">ROUND((C22-C21)/(A22-A21),0)</f>
        <v>1500</v>
      </c>
      <c r="I22" s="7" t="n">
        <f aca="false">ROUND((C22-79029)/(A22-DATE(2024,10,22)),0)</f>
        <v>54</v>
      </c>
      <c r="J22" s="2" t="s">
        <v>13</v>
      </c>
      <c r="K22" s="2" t="s">
        <v>13</v>
      </c>
      <c r="L22" s="2" t="s">
        <v>13</v>
      </c>
    </row>
    <row r="23" customFormat="false" ht="15.75" hidden="false" customHeight="false" outlineLevel="0" collapsed="false">
      <c r="A23" s="6" t="n">
        <v>45929</v>
      </c>
      <c r="B23" s="2" t="n">
        <v>1039414</v>
      </c>
      <c r="C23" s="3" t="n">
        <v>84280</v>
      </c>
      <c r="D23" s="3" t="n">
        <v>955134</v>
      </c>
      <c r="E23" s="2" t="n">
        <v>8.82</v>
      </c>
      <c r="F23" s="2" t="s">
        <v>12</v>
      </c>
      <c r="G23" s="2" t="n">
        <v>29</v>
      </c>
      <c r="H23" s="7" t="n">
        <f aca="false">ROUND((C23-C22)/(A23-A22),0)</f>
        <v>-717</v>
      </c>
      <c r="I23" s="7" t="n">
        <f aca="false">ROUND((C23-79029)/(A23-DATE(2024,10,22)),0)</f>
        <v>15</v>
      </c>
      <c r="J23" s="2" t="s">
        <v>13</v>
      </c>
      <c r="K23" s="2" t="s">
        <v>13</v>
      </c>
      <c r="L23" s="2" t="s">
        <v>13</v>
      </c>
    </row>
    <row r="24" customFormat="false" ht="15.75" hidden="false" customHeight="false" outlineLevel="0" collapsed="false">
      <c r="A24" s="6" t="n">
        <v>45931</v>
      </c>
      <c r="B24" s="2" t="n">
        <v>1137219</v>
      </c>
      <c r="C24" s="3" t="n">
        <v>82085</v>
      </c>
      <c r="D24" s="3" t="n">
        <v>1055134</v>
      </c>
      <c r="E24" s="2" t="n">
        <v>7.78</v>
      </c>
      <c r="F24" s="7" t="n">
        <f aca="false">DATEDIF(A19,A24,"d")</f>
        <v>29</v>
      </c>
      <c r="G24" s="2" t="n">
        <v>29</v>
      </c>
      <c r="H24" s="7" t="n">
        <f aca="false">ROUND((C24-C23)/(A24-A23),0)</f>
        <v>-1098</v>
      </c>
      <c r="I24" s="7" t="n">
        <f aca="false">ROUND((C24-79029)/(A24-DATE(2024,10,22)),0)</f>
        <v>9</v>
      </c>
      <c r="J24" s="2" t="s">
        <v>13</v>
      </c>
      <c r="K24" s="2" t="s">
        <v>13</v>
      </c>
      <c r="L24" s="2" t="s">
        <v>13</v>
      </c>
    </row>
    <row r="25" customFormat="false" ht="15.75" hidden="false" customHeight="false" outlineLevel="0" collapsed="false">
      <c r="A25" s="6" t="n">
        <v>45937</v>
      </c>
      <c r="B25" s="2" t="n">
        <v>1157224</v>
      </c>
      <c r="C25" s="3" t="n">
        <v>102090</v>
      </c>
      <c r="D25" s="3" t="n">
        <v>1055134</v>
      </c>
      <c r="E25" s="2" t="n">
        <v>9.68</v>
      </c>
      <c r="F25" s="2" t="s">
        <v>12</v>
      </c>
      <c r="G25" s="2" t="n">
        <v>29</v>
      </c>
      <c r="H25" s="7" t="n">
        <f aca="false">ROUND((C25-C24)/(A25-A24),0)</f>
        <v>3334</v>
      </c>
      <c r="I25" s="7" t="n">
        <f aca="false">ROUND((C25-79029)/(A25-DATE(2024,10,22)),0)</f>
        <v>66</v>
      </c>
      <c r="J25" s="2" t="s">
        <v>13</v>
      </c>
      <c r="K25" s="2" t="s">
        <v>13</v>
      </c>
      <c r="L25" s="2" t="s">
        <v>13</v>
      </c>
    </row>
    <row r="26" customFormat="false" ht="15.75" hidden="false" customHeight="false" outlineLevel="0" collapsed="false">
      <c r="A26" s="6" t="n">
        <v>45947</v>
      </c>
      <c r="B26" s="2" t="n">
        <v>1178207</v>
      </c>
      <c r="C26" s="3" t="n">
        <v>123073</v>
      </c>
      <c r="D26" s="3" t="n">
        <v>1055134</v>
      </c>
      <c r="E26" s="2" t="n">
        <v>11.66</v>
      </c>
      <c r="F26" s="2" t="s">
        <v>12</v>
      </c>
      <c r="G26" s="2" t="n">
        <v>29</v>
      </c>
      <c r="H26" s="7" t="n">
        <f aca="false">ROUND((C26-C25)/(A26-A25),0)</f>
        <v>2098</v>
      </c>
      <c r="I26" s="7" t="n">
        <f aca="false">ROUND((C26-79029)/(A26-DATE(2024,10,22)),0)</f>
        <v>122</v>
      </c>
      <c r="J26" s="2" t="s">
        <v>13</v>
      </c>
      <c r="K26" s="2" t="s">
        <v>13</v>
      </c>
      <c r="L26" s="2" t="s">
        <v>13</v>
      </c>
    </row>
    <row r="27" customFormat="false" ht="15.75" hidden="false" customHeight="false" outlineLevel="0" collapsed="false">
      <c r="A27" s="6" t="n">
        <v>45958</v>
      </c>
      <c r="B27" s="2" t="n">
        <v>1195286</v>
      </c>
      <c r="C27" s="3" t="n">
        <v>140152</v>
      </c>
      <c r="D27" s="3" t="n">
        <v>1055134</v>
      </c>
      <c r="E27" s="2" t="n">
        <v>13.28</v>
      </c>
      <c r="F27" s="2" t="s">
        <v>12</v>
      </c>
      <c r="G27" s="2" t="n">
        <v>29</v>
      </c>
      <c r="H27" s="7" t="n">
        <f aca="false">ROUND((C27-C26)/(A27-A26),0)</f>
        <v>1553</v>
      </c>
      <c r="I27" s="7" t="n">
        <f aca="false">ROUND((C27-79029)/(A27-DATE(2024,10,22)),0)</f>
        <v>165</v>
      </c>
      <c r="J27" s="2" t="s">
        <v>13</v>
      </c>
      <c r="K27" s="2" t="s">
        <v>13</v>
      </c>
      <c r="L27" s="2" t="s">
        <v>13</v>
      </c>
    </row>
    <row r="28" customFormat="false" ht="15.75" hidden="false" customHeight="false" outlineLevel="0" collapsed="false">
      <c r="A28" s="6" t="n">
        <v>45975</v>
      </c>
      <c r="B28" s="2" t="n">
        <v>1190855</v>
      </c>
      <c r="C28" s="3" t="n">
        <v>135722</v>
      </c>
      <c r="D28" s="3" t="n">
        <v>1055134</v>
      </c>
      <c r="E28" s="2" t="n">
        <v>12.86</v>
      </c>
      <c r="F28" s="2" t="s">
        <v>12</v>
      </c>
      <c r="G28" s="2" t="n">
        <v>29</v>
      </c>
      <c r="H28" s="7" t="n">
        <f aca="false">ROUND((C28-C27)/(A28-A27),0)</f>
        <v>-261</v>
      </c>
      <c r="I28" s="7" t="n">
        <f aca="false">ROUND((C28-79029)/(A28-DATE(2024,10,22)),0)</f>
        <v>146</v>
      </c>
      <c r="J28" s="2" t="s">
        <v>13</v>
      </c>
      <c r="K28" s="2" t="s">
        <v>13</v>
      </c>
      <c r="L28" s="2" t="s">
        <v>13</v>
      </c>
    </row>
    <row r="29" customFormat="false" ht="15.75" hidden="false" customHeight="false" outlineLevel="0" collapsed="false">
      <c r="A29" s="6" t="n">
        <v>45988</v>
      </c>
      <c r="B29" s="2" t="n">
        <v>1204314</v>
      </c>
      <c r="C29" s="3" t="n">
        <v>149180</v>
      </c>
      <c r="D29" s="3" t="n">
        <v>1055134</v>
      </c>
      <c r="E29" s="2" t="n">
        <v>14.14</v>
      </c>
      <c r="F29" s="7" t="n">
        <f aca="false">DATEDIF(A24,A29,"d")</f>
        <v>57</v>
      </c>
      <c r="G29" s="2" t="n">
        <v>57</v>
      </c>
      <c r="H29" s="7" t="n">
        <f aca="false">ROUND((C29-C28)/(A29-A28),0)</f>
        <v>1035</v>
      </c>
      <c r="I29" s="7" t="n">
        <f aca="false">ROUND((C29-79029)/(A29-DATE(2024,10,22)),0)</f>
        <v>175</v>
      </c>
      <c r="J29" s="2" t="s">
        <v>13</v>
      </c>
      <c r="K29" s="2" t="s">
        <v>13</v>
      </c>
      <c r="L29" s="2" t="s">
        <v>13</v>
      </c>
    </row>
    <row r="30" customFormat="false" ht="15.75" hidden="false" customHeight="false" outlineLevel="0" collapsed="false">
      <c r="A30" s="6" t="n">
        <v>45995</v>
      </c>
      <c r="B30" s="2" t="n">
        <v>1255548</v>
      </c>
      <c r="C30" s="3" t="n">
        <v>140414</v>
      </c>
      <c r="D30" s="3" t="n">
        <v>1115134</v>
      </c>
      <c r="E30" s="2" t="n">
        <v>12.59</v>
      </c>
      <c r="F30" s="2" t="s">
        <v>12</v>
      </c>
      <c r="G30" s="2" t="n">
        <v>57</v>
      </c>
      <c r="H30" s="7" t="n">
        <f aca="false">ROUND((C30-C29)/(A30-A29),0)</f>
        <v>-1252</v>
      </c>
      <c r="I30" s="7" t="n">
        <f aca="false">ROUND((C30-79029)/(A30-DATE(2024,10,22)),0)</f>
        <v>150</v>
      </c>
      <c r="J30" s="2" t="s">
        <v>13</v>
      </c>
      <c r="K30" s="2" t="s">
        <v>13</v>
      </c>
      <c r="L30" s="2" t="s">
        <v>13</v>
      </c>
    </row>
    <row r="31" customFormat="false" ht="15.75" hidden="false" customHeight="false" outlineLevel="0" collapsed="false">
      <c r="A31" s="6" t="n">
        <v>45998</v>
      </c>
      <c r="B31" s="2" t="n">
        <v>1262212</v>
      </c>
      <c r="C31" s="3" t="n">
        <v>147078</v>
      </c>
      <c r="D31" s="3" t="n">
        <v>1115134</v>
      </c>
      <c r="E31" s="2" t="n">
        <v>13.19</v>
      </c>
      <c r="F31" s="2" t="s">
        <v>12</v>
      </c>
      <c r="G31" s="2" t="n">
        <v>57</v>
      </c>
      <c r="H31" s="7" t="n">
        <f aca="false">ROUND((C31-C30)/(A31-A30),0)</f>
        <v>2221</v>
      </c>
      <c r="I31" s="7" t="n">
        <f aca="false">ROUND((C31-79029)/(A31-DATE(2024,10,22)),0)</f>
        <v>166</v>
      </c>
      <c r="J31" s="2" t="s">
        <v>13</v>
      </c>
      <c r="K31" s="2" t="s">
        <v>13</v>
      </c>
      <c r="L31" s="2" t="s">
        <v>13</v>
      </c>
    </row>
    <row r="32" customFormat="false" ht="15.75" hidden="false" customHeight="false" outlineLevel="0" collapsed="false">
      <c r="A32" s="6" t="n">
        <v>46000</v>
      </c>
      <c r="B32" s="2" t="n">
        <v>1290756</v>
      </c>
      <c r="C32" s="3" t="n">
        <v>135622</v>
      </c>
      <c r="D32" s="3" t="n">
        <v>1155134</v>
      </c>
      <c r="E32" s="2" t="n">
        <v>11.74</v>
      </c>
      <c r="F32" s="2" t="s">
        <v>12</v>
      </c>
      <c r="G32" s="2" t="n">
        <v>57</v>
      </c>
      <c r="H32" s="7" t="n">
        <f aca="false">ROUND((C32-C31)/(A32-A31),0)</f>
        <v>-5728</v>
      </c>
      <c r="I32" s="7" t="n">
        <f aca="false">ROUND((C32-79029)/(A32-DATE(2024,10,22)),0)</f>
        <v>137</v>
      </c>
      <c r="J32" s="2" t="s">
        <v>13</v>
      </c>
      <c r="K32" s="2" t="s">
        <v>13</v>
      </c>
      <c r="L32" s="2" t="s">
        <v>13</v>
      </c>
    </row>
    <row r="33" customFormat="false" ht="15.75" hidden="false" customHeight="false" outlineLevel="0" collapsed="false">
      <c r="A33" s="6" t="n">
        <v>46018</v>
      </c>
      <c r="B33" s="2" t="n">
        <v>1292511</v>
      </c>
      <c r="C33" s="3" t="n">
        <v>137377</v>
      </c>
      <c r="D33" s="3" t="n">
        <v>1155134</v>
      </c>
      <c r="E33" s="2" t="n">
        <v>11.89</v>
      </c>
      <c r="F33" s="2" t="s">
        <v>12</v>
      </c>
      <c r="G33" s="2" t="n">
        <v>57</v>
      </c>
      <c r="H33" s="7" t="n">
        <f aca="false">ROUND((C33-C32)/(A33-A32),0)</f>
        <v>98</v>
      </c>
      <c r="I33" s="7" t="n">
        <f aca="false">ROUND((C33-79029)/(A33-DATE(2024,10,22)),0)</f>
        <v>135</v>
      </c>
      <c r="J33" s="2" t="s">
        <v>13</v>
      </c>
      <c r="K33" s="2" t="s">
        <v>13</v>
      </c>
      <c r="L33" s="2" t="s">
        <v>13</v>
      </c>
    </row>
    <row r="34" customFormat="false" ht="15.75" hidden="false" customHeight="false" outlineLevel="0" collapsed="false">
      <c r="A34" s="6" t="n">
        <v>46027</v>
      </c>
      <c r="B34" s="2" t="n">
        <v>1357952</v>
      </c>
      <c r="C34" s="3" t="n">
        <v>152818</v>
      </c>
      <c r="D34" s="3" t="n">
        <v>1205134</v>
      </c>
      <c r="E34" s="2" t="n">
        <v>12.68</v>
      </c>
      <c r="F34" s="7" t="n">
        <f aca="false">DATEDIF(A29,A34,"d")</f>
        <v>39</v>
      </c>
      <c r="G34" s="2" t="n">
        <v>39</v>
      </c>
      <c r="H34" s="7" t="n">
        <f aca="false">ROUND((C34-C33)/(A34-A33),0)</f>
        <v>1716</v>
      </c>
      <c r="I34" s="7" t="n">
        <f aca="false">ROUND((C34-79029)/(A34-DATE(2024,10,22)),0)</f>
        <v>168</v>
      </c>
      <c r="J34" s="2" t="s">
        <v>13</v>
      </c>
      <c r="K34" s="2" t="s">
        <v>13</v>
      </c>
      <c r="L34" s="2" t="s">
        <v>13</v>
      </c>
    </row>
    <row r="35" customFormat="false" ht="15.75" hidden="false" customHeight="false" outlineLevel="0" collapsed="false">
      <c r="A35" s="6" t="n">
        <v>46029</v>
      </c>
      <c r="B35" s="2" t="n">
        <v>1366148</v>
      </c>
      <c r="C35" s="3" t="n">
        <v>146015</v>
      </c>
      <c r="D35" s="3" t="n">
        <v>1220134</v>
      </c>
      <c r="E35" s="2" t="n">
        <v>11.97</v>
      </c>
      <c r="F35" s="2" t="s">
        <v>12</v>
      </c>
      <c r="G35" s="2" t="n">
        <v>39</v>
      </c>
      <c r="H35" s="7" t="n">
        <f aca="false">ROUND((C35-C34)/(A35-A34),0)</f>
        <v>-3402</v>
      </c>
      <c r="I35" s="7" t="n">
        <f aca="false">ROUND((C35-79029)/(A35-DATE(2024,10,22)),0)</f>
        <v>152</v>
      </c>
      <c r="J35" s="2" t="s">
        <v>13</v>
      </c>
      <c r="K35" s="2" t="s">
        <v>13</v>
      </c>
      <c r="L35" s="2" t="s">
        <v>13</v>
      </c>
    </row>
    <row r="36" customFormat="false" ht="15.75" hidden="false" customHeight="false" outlineLevel="0" collapsed="false">
      <c r="A36" s="6" t="n">
        <v>46043</v>
      </c>
      <c r="B36" s="2" t="n">
        <v>1360766</v>
      </c>
      <c r="C36" s="3" t="n">
        <v>90633</v>
      </c>
      <c r="D36" s="3" t="n">
        <v>1270134</v>
      </c>
      <c r="E36" s="2" t="n">
        <v>7.14</v>
      </c>
      <c r="F36" s="2" t="s">
        <v>12</v>
      </c>
      <c r="G36" s="2" t="n">
        <v>39</v>
      </c>
      <c r="H36" s="7" t="n">
        <f aca="false">ROUND((C36-C35)/(A36-A35),0)</f>
        <v>-3956</v>
      </c>
      <c r="I36" s="7" t="n">
        <f aca="false">ROUND((C36-79029)/(A36-DATE(2024,10,22)),0)</f>
        <v>25</v>
      </c>
      <c r="J36" s="2" t="s">
        <v>13</v>
      </c>
      <c r="K36" s="2" t="s">
        <v>13</v>
      </c>
      <c r="L36" s="2" t="s">
        <v>13</v>
      </c>
    </row>
    <row r="37" customFormat="false" ht="15.75" hidden="false" customHeight="false" outlineLevel="0" collapsed="false">
      <c r="A37" s="6" t="n">
        <v>46055</v>
      </c>
      <c r="B37" s="2" t="n">
        <v>1363933</v>
      </c>
      <c r="C37" s="3" t="n">
        <v>93799</v>
      </c>
      <c r="D37" s="3" t="n">
        <v>1270134</v>
      </c>
      <c r="E37" s="2" t="n">
        <v>7.38</v>
      </c>
      <c r="F37" s="2" t="s">
        <v>12</v>
      </c>
      <c r="G37" s="2" t="n">
        <v>39</v>
      </c>
      <c r="H37" s="7" t="n">
        <f aca="false">ROUND((C37-C36)/(A37-A36),0)</f>
        <v>264</v>
      </c>
      <c r="I37" s="7" t="n">
        <f aca="false">ROUND((C37-79029)/(A37-DATE(2024,10,22)),0)</f>
        <v>32</v>
      </c>
      <c r="J37" s="2" t="s">
        <v>13</v>
      </c>
      <c r="K37" s="2" t="s">
        <v>13</v>
      </c>
      <c r="L37" s="2" t="s">
        <v>13</v>
      </c>
    </row>
    <row r="38" customFormat="false" ht="15.75" hidden="false" customHeight="false" outlineLevel="0" collapsed="false">
      <c r="A38" s="6" t="n">
        <v>46059</v>
      </c>
      <c r="B38" s="2" t="n">
        <v>1385104</v>
      </c>
      <c r="C38" s="3" t="n">
        <v>114970</v>
      </c>
      <c r="D38" s="3" t="n">
        <v>1270134</v>
      </c>
      <c r="E38" s="2" t="n">
        <v>9.05</v>
      </c>
      <c r="F38" s="2" t="s">
        <v>12</v>
      </c>
      <c r="G38" s="2" t="n">
        <v>39</v>
      </c>
      <c r="H38" s="7" t="n">
        <f aca="false">ROUND((C38-C37)/(A38-A37),0)</f>
        <v>5293</v>
      </c>
      <c r="I38" s="7" t="n">
        <f aca="false">ROUND((C38-79029)/(A38-DATE(2024,10,22)),0)</f>
        <v>76</v>
      </c>
      <c r="J38" s="2" t="s">
        <v>13</v>
      </c>
      <c r="K38" s="2" t="s">
        <v>13</v>
      </c>
      <c r="L38" s="2" t="s">
        <v>13</v>
      </c>
    </row>
    <row r="39" customFormat="false" ht="15.75" hidden="false" customHeight="false" outlineLevel="0" collapsed="false">
      <c r="A39" s="6" t="n">
        <v>46069</v>
      </c>
      <c r="B39" s="2" t="n">
        <v>1377981</v>
      </c>
      <c r="C39" s="3" t="n">
        <v>107847</v>
      </c>
      <c r="D39" s="3" t="n">
        <v>1270134</v>
      </c>
      <c r="E39" s="2" t="n">
        <v>8.49</v>
      </c>
      <c r="F39" s="2" t="s">
        <v>12</v>
      </c>
      <c r="G39" s="2" t="n">
        <v>39</v>
      </c>
      <c r="H39" s="7" t="n">
        <f aca="false">ROUND((C39-C38)/(A39-A38),0)</f>
        <v>-712</v>
      </c>
      <c r="I39" s="7" t="n">
        <f aca="false">ROUND((C39-79029)/(A39-DATE(2024,10,22)),0)</f>
        <v>60</v>
      </c>
      <c r="J39" s="2" t="s">
        <v>13</v>
      </c>
      <c r="K39" s="2" t="s">
        <v>13</v>
      </c>
      <c r="L39" s="2" t="s">
        <v>13</v>
      </c>
    </row>
    <row r="40" customFormat="false" ht="15.75" hidden="false" customHeight="false" outlineLevel="0" collapsed="false">
      <c r="A40" s="6" t="n">
        <v>46070</v>
      </c>
      <c r="B40" s="2" t="n">
        <v>1421039</v>
      </c>
      <c r="C40" s="3" t="n">
        <v>115905</v>
      </c>
      <c r="D40" s="3" t="n">
        <v>1305134</v>
      </c>
      <c r="E40" s="2" t="n">
        <v>8.88</v>
      </c>
      <c r="F40" s="7" t="n">
        <f aca="false">DATEDIF(A34,A40,"d")</f>
        <v>43</v>
      </c>
      <c r="G40" s="2" t="n">
        <v>43</v>
      </c>
      <c r="H40" s="7" t="n">
        <f aca="false">ROUND((C40-C39)/(A40-A39),0)</f>
        <v>8058</v>
      </c>
      <c r="I40" s="7" t="n">
        <f aca="false">ROUND((C40-79029)/(A40-DATE(2024,10,22)),0)</f>
        <v>76</v>
      </c>
      <c r="J40" s="2" t="s">
        <v>13</v>
      </c>
      <c r="K40" s="2" t="s">
        <v>13</v>
      </c>
      <c r="L40" s="2" t="s">
        <v>13</v>
      </c>
    </row>
    <row r="41" customFormat="false" ht="15.75" hidden="false" customHeight="false" outlineLevel="0" collapsed="false">
      <c r="A41" s="6" t="n">
        <v>46088</v>
      </c>
      <c r="B41" s="2" t="n">
        <v>1355199</v>
      </c>
      <c r="C41" s="3" t="n">
        <v>50065</v>
      </c>
      <c r="D41" s="3" t="n">
        <v>1305134</v>
      </c>
      <c r="E41" s="2" t="n">
        <v>3.84</v>
      </c>
      <c r="F41" s="2" t="s">
        <v>12</v>
      </c>
      <c r="G41" s="2" t="n">
        <v>43</v>
      </c>
      <c r="H41" s="7" t="n">
        <f aca="false">ROUND((C41-C40)/(A41-A40),0)</f>
        <v>-3658</v>
      </c>
      <c r="I41" s="7" t="n">
        <f aca="false">ROUND((C41-79029)/(A41-DATE(2024,10,22)),0)</f>
        <v>-58</v>
      </c>
      <c r="J41" s="2" t="s">
        <v>13</v>
      </c>
      <c r="K41" s="2" t="s">
        <v>13</v>
      </c>
      <c r="L41" s="2" t="s">
        <v>13</v>
      </c>
    </row>
    <row r="42" customFormat="false" ht="15.75" hidden="false" customHeight="false" outlineLevel="0" collapsed="false">
      <c r="A42" s="6" t="n">
        <v>46099</v>
      </c>
      <c r="B42" s="2" t="n">
        <v>1306342</v>
      </c>
      <c r="C42" s="3" t="n">
        <v>1208</v>
      </c>
      <c r="D42" s="3" t="n">
        <v>1305134</v>
      </c>
      <c r="E42" s="2" t="n">
        <v>0.09</v>
      </c>
      <c r="F42" s="2" t="s">
        <v>12</v>
      </c>
      <c r="G42" s="2" t="n">
        <v>43</v>
      </c>
      <c r="H42" s="7" t="n">
        <f aca="false">ROUND((C42-C41)/(A42-A41),0)</f>
        <v>-4442</v>
      </c>
      <c r="I42" s="7" t="n">
        <f aca="false">ROUND((C42-79029)/(A42-DATE(2024,10,22)),0)</f>
        <v>-152</v>
      </c>
      <c r="J42" s="2" t="s">
        <v>13</v>
      </c>
      <c r="K42" s="2" t="s">
        <v>13</v>
      </c>
      <c r="L42" s="2" t="s">
        <v>13</v>
      </c>
    </row>
    <row r="43" customFormat="false" ht="15.75" hidden="false" customHeight="false" outlineLevel="0" collapsed="false">
      <c r="A43" s="6" t="n">
        <v>46103</v>
      </c>
      <c r="B43" s="2" t="n">
        <v>1282635</v>
      </c>
      <c r="C43" s="3" t="n">
        <v>-22499</v>
      </c>
      <c r="D43" s="3" t="n">
        <v>1305134</v>
      </c>
      <c r="E43" s="2" t="n">
        <v>-1.72</v>
      </c>
      <c r="F43" s="2" t="s">
        <v>12</v>
      </c>
      <c r="G43" s="2" t="n">
        <v>43</v>
      </c>
      <c r="H43" s="7" t="n">
        <f aca="false">ROUND((C43-C42)/(A43-A42),0)</f>
        <v>-5927</v>
      </c>
      <c r="I43" s="7" t="n">
        <f aca="false">ROUND((C43-79029)/(A43-DATE(2024,10,22)),0)</f>
        <v>-197</v>
      </c>
      <c r="J43" s="2" t="s">
        <v>13</v>
      </c>
      <c r="K43" s="2" t="s">
        <v>13</v>
      </c>
      <c r="L43" s="2" t="s">
        <v>13</v>
      </c>
    </row>
    <row r="44" customFormat="false" ht="15.75" hidden="false" customHeight="false" outlineLevel="0" collapsed="false">
      <c r="A44" s="6" t="n">
        <v>46107</v>
      </c>
      <c r="B44" s="2" t="n">
        <v>1295282</v>
      </c>
      <c r="C44" s="3" t="n">
        <v>-9852</v>
      </c>
      <c r="D44" s="2" t="n">
        <v>1305134</v>
      </c>
      <c r="E44" s="2" t="n">
        <v>-0.75</v>
      </c>
      <c r="F44" s="2" t="s">
        <v>12</v>
      </c>
      <c r="G44" s="2" t="n">
        <v>43</v>
      </c>
      <c r="H44" s="7" t="n">
        <f aca="false">ROUND((C44-C43)/(A44-A43),0)</f>
        <v>3162</v>
      </c>
      <c r="I44" s="7" t="n">
        <f aca="false">ROUND((C44-79029)/(A44-DATE(2024,10,22)),0)</f>
        <v>-171</v>
      </c>
      <c r="J44" s="2" t="s">
        <v>13</v>
      </c>
      <c r="K44" s="2" t="n">
        <f aca="false">100-60.5</f>
        <v>39.5</v>
      </c>
      <c r="L44" s="2" t="n">
        <v>60.5</v>
      </c>
    </row>
    <row r="45" customFormat="false" ht="15.75" hidden="false" customHeight="false" outlineLevel="0" collapsed="false">
      <c r="A45" s="6" t="n">
        <v>46108</v>
      </c>
      <c r="B45" s="2" t="n">
        <v>1345279</v>
      </c>
      <c r="C45" s="3" t="n">
        <v>-9854</v>
      </c>
      <c r="D45" s="3" t="n">
        <v>1355134</v>
      </c>
      <c r="E45" s="2" t="n">
        <v>-0.73</v>
      </c>
      <c r="F45" s="2" t="s">
        <v>12</v>
      </c>
      <c r="G45" s="2" t="n">
        <v>43</v>
      </c>
      <c r="H45" s="7" t="n">
        <f aca="false">ROUND((C45-C44)/(A45-A44),0)</f>
        <v>-2</v>
      </c>
      <c r="I45" s="7" t="n">
        <f aca="false">ROUND((C45-79029)/(A45-DATE(2024,10,22)),0)</f>
        <v>-171</v>
      </c>
      <c r="J45" s="2" t="n">
        <v>3.72</v>
      </c>
      <c r="K45" s="2" t="n">
        <v>37.42</v>
      </c>
      <c r="L45" s="2" t="n">
        <v>58.86</v>
      </c>
    </row>
    <row r="46" customFormat="false" ht="15.75" hidden="false" customHeight="false" outlineLevel="0" collapsed="false">
      <c r="A46" s="6" t="n">
        <v>46109</v>
      </c>
      <c r="B46" s="2" t="n">
        <v>1318332</v>
      </c>
      <c r="C46" s="3" t="n">
        <v>-36802</v>
      </c>
      <c r="D46" s="3" t="n">
        <v>1355134</v>
      </c>
      <c r="E46" s="2" t="n">
        <v>-2.72</v>
      </c>
      <c r="F46" s="2" t="s">
        <v>12</v>
      </c>
      <c r="G46" s="2" t="n">
        <v>43</v>
      </c>
      <c r="H46" s="7" t="n">
        <f aca="false">ROUND((C46-C45)/(A46-A45),0)</f>
        <v>-26948</v>
      </c>
      <c r="I46" s="7" t="n">
        <f aca="false">ROUND((C46-79029)/(A46-DATE(2024,10,22)),0)</f>
        <v>-222</v>
      </c>
      <c r="J46" s="2" t="n">
        <v>3.79</v>
      </c>
      <c r="K46" s="2" t="n">
        <v>37.45</v>
      </c>
      <c r="L46" s="2" t="n">
        <v>58.75</v>
      </c>
    </row>
    <row r="47" customFormat="false" ht="15.75" hidden="false" customHeight="false" outlineLevel="0" collapsed="false">
      <c r="A47" s="6" t="n">
        <v>46111</v>
      </c>
      <c r="B47" s="2" t="n">
        <v>1290971</v>
      </c>
      <c r="C47" s="3" t="n">
        <v>-64163</v>
      </c>
      <c r="D47" s="3" t="n">
        <v>1355134</v>
      </c>
      <c r="E47" s="2" t="n">
        <v>-4.73</v>
      </c>
      <c r="F47" s="2" t="s">
        <v>12</v>
      </c>
      <c r="G47" s="2" t="n">
        <v>43</v>
      </c>
      <c r="H47" s="7" t="n">
        <f aca="false">ROUND((C47-C46)/(A47-A46),0)</f>
        <v>-13681</v>
      </c>
      <c r="I47" s="7" t="n">
        <f aca="false">ROUND((C47-79029)/(A47-DATE(2024,10,22)),0)</f>
        <v>-273</v>
      </c>
      <c r="J47" s="2" t="n">
        <v>3.88</v>
      </c>
      <c r="K47" s="2" t="n">
        <v>37.44</v>
      </c>
      <c r="L47" s="2" t="n">
        <v>58.69</v>
      </c>
    </row>
    <row r="48" customFormat="false" ht="15.75" hidden="false" customHeight="false" outlineLevel="0" collapsed="false">
      <c r="A48" s="6" t="n">
        <v>46114</v>
      </c>
      <c r="B48" s="2" t="n">
        <v>1413310</v>
      </c>
      <c r="C48" s="3" t="n">
        <v>-41824</v>
      </c>
      <c r="D48" s="3" t="n">
        <v>1455134</v>
      </c>
      <c r="E48" s="2" t="n">
        <v>-2.87</v>
      </c>
      <c r="F48" s="2" t="s">
        <v>12</v>
      </c>
      <c r="G48" s="2" t="n">
        <v>43</v>
      </c>
      <c r="H48" s="7" t="n">
        <f aca="false">ROUND((C48-C47)/(A48-A47),0)</f>
        <v>7446</v>
      </c>
      <c r="I48" s="7" t="n">
        <f aca="false">ROUND((C48-79029)/(A48-DATE(2024,10,22)),0)</f>
        <v>-229</v>
      </c>
      <c r="J48" s="2" t="n">
        <v>10.62</v>
      </c>
      <c r="K48" s="2" t="n">
        <v>34.91</v>
      </c>
      <c r="L48" s="2" t="n">
        <v>54.47</v>
      </c>
    </row>
    <row r="49" customFormat="false" ht="15.75" hidden="false" customHeight="false" outlineLevel="0" collapsed="false">
      <c r="A49" s="6" t="n">
        <v>46119</v>
      </c>
      <c r="B49" s="2" t="n">
        <v>1431208</v>
      </c>
      <c r="C49" s="3" t="n">
        <v>-23926</v>
      </c>
      <c r="D49" s="3" t="n">
        <v>1455134</v>
      </c>
      <c r="E49" s="2" t="n">
        <v>-1.64</v>
      </c>
      <c r="F49" s="2" t="s">
        <v>12</v>
      </c>
      <c r="G49" s="2" t="n">
        <v>43</v>
      </c>
      <c r="H49" s="7" t="n">
        <f aca="false">ROUND((C49-C48)/(A49-A48),0)</f>
        <v>3580</v>
      </c>
      <c r="I49" s="7" t="n">
        <f aca="false">ROUND((C49-79029)/(A49-DATE(2024,10,22)),0)</f>
        <v>-194</v>
      </c>
      <c r="J49" s="2" t="n">
        <v>10.51</v>
      </c>
      <c r="K49" s="2" t="n">
        <v>35</v>
      </c>
      <c r="L49" s="2" t="n">
        <v>54.49</v>
      </c>
    </row>
    <row r="50" customFormat="false" ht="15.75" hidden="false" customHeight="false" outlineLevel="0" collapsed="false">
      <c r="A50" s="6" t="n">
        <v>46121</v>
      </c>
      <c r="B50" s="2" t="n">
        <v>1486816</v>
      </c>
      <c r="C50" s="3" t="n">
        <v>31682</v>
      </c>
      <c r="D50" s="3" t="n">
        <v>1455134</v>
      </c>
      <c r="E50" s="2" t="n">
        <v>2.18</v>
      </c>
      <c r="F50" s="2" t="s">
        <v>12</v>
      </c>
      <c r="G50" s="2" t="n">
        <v>43</v>
      </c>
      <c r="H50" s="7" t="n">
        <f aca="false">ROUND((C50-C49)/(A50-A49),0)</f>
        <v>27804</v>
      </c>
      <c r="I50" s="7" t="n">
        <f aca="false">ROUND((C50-79029)/(A50-DATE(2024,10,22)),0)</f>
        <v>-89</v>
      </c>
      <c r="J50" s="2" t="n">
        <v>10.12</v>
      </c>
      <c r="K50" s="2" t="n">
        <v>35.02</v>
      </c>
      <c r="L50" s="2" t="n">
        <v>54.85</v>
      </c>
    </row>
    <row r="51" customFormat="false" ht="15.75" hidden="false" customHeight="false" outlineLevel="0" collapsed="false">
      <c r="A51" s="6" t="n">
        <v>46122</v>
      </c>
      <c r="B51" s="2" t="n">
        <v>1474151</v>
      </c>
      <c r="C51" s="3" t="n">
        <v>19017</v>
      </c>
      <c r="D51" s="3" t="n">
        <v>1455134</v>
      </c>
      <c r="E51" s="2" t="n">
        <v>1.31</v>
      </c>
      <c r="F51" s="2" t="s">
        <v>12</v>
      </c>
      <c r="G51" s="2" t="n">
        <v>43</v>
      </c>
      <c r="H51" s="7" t="n">
        <f aca="false">ROUND((C51-C50)/(A51-A50),0)</f>
        <v>-12665</v>
      </c>
      <c r="I51" s="7" t="n">
        <f aca="false">ROUND((C51-79029)/(A51-DATE(2024,10,22)),0)</f>
        <v>-112</v>
      </c>
      <c r="J51" s="2" t="n">
        <v>10.21</v>
      </c>
      <c r="K51" s="2" t="n">
        <v>35.07</v>
      </c>
      <c r="L51" s="2" t="n">
        <v>54.72</v>
      </c>
    </row>
    <row r="52" customFormat="false" ht="15.75" hidden="false" customHeight="false" outlineLevel="0" collapsed="false">
      <c r="A52" s="6" t="n">
        <v>46123</v>
      </c>
      <c r="B52" s="2" t="n">
        <v>1489430</v>
      </c>
      <c r="C52" s="3" t="n">
        <v>34296</v>
      </c>
      <c r="D52" s="3" t="n">
        <v>1455134</v>
      </c>
      <c r="E52" s="2" t="n">
        <v>2.36</v>
      </c>
      <c r="F52" s="2" t="s">
        <v>12</v>
      </c>
      <c r="G52" s="2" t="n">
        <v>43</v>
      </c>
      <c r="H52" s="7" t="n">
        <f aca="false">ROUND((C52-C51)/(A52-A51),0)</f>
        <v>15279</v>
      </c>
      <c r="I52" s="7" t="n">
        <f aca="false">ROUND((C52-79029)/(A52-DATE(2024,10,22)),0)</f>
        <v>-83</v>
      </c>
      <c r="J52" s="2" t="n">
        <v>10.11</v>
      </c>
      <c r="K52" s="2" t="n">
        <v>35.09</v>
      </c>
      <c r="L52" s="2" t="n">
        <v>54.8</v>
      </c>
    </row>
    <row r="53" customFormat="false" ht="15.75" hidden="false" customHeight="false" outlineLevel="0" collapsed="false">
      <c r="A53" s="6" t="n">
        <v>46126</v>
      </c>
      <c r="B53" s="2" t="n">
        <v>1481976</v>
      </c>
      <c r="C53" s="3" t="n">
        <v>23842</v>
      </c>
      <c r="D53" s="3" t="n">
        <v>1458134</v>
      </c>
      <c r="E53" s="2" t="n">
        <v>1.64</v>
      </c>
      <c r="F53" s="2" t="s">
        <v>12</v>
      </c>
      <c r="G53" s="2" t="n">
        <v>43</v>
      </c>
      <c r="H53" s="7" t="n">
        <f aca="false">ROUND((C53-C52)/(A53-A52),0)</f>
        <v>-3485</v>
      </c>
      <c r="I53" s="7" t="n">
        <f aca="false">ROUND((C53-79029)/(A53-DATE(2024,10,22)),0)</f>
        <v>-102</v>
      </c>
      <c r="J53" s="2" t="n">
        <v>10.37</v>
      </c>
      <c r="K53" s="2" t="n">
        <v>35.05</v>
      </c>
      <c r="L53" s="2" t="n">
        <v>54.58</v>
      </c>
    </row>
    <row r="54" customFormat="false" ht="15.75" hidden="false" customHeight="false" outlineLevel="0" collapsed="false">
      <c r="A54" s="6" t="n">
        <v>46129</v>
      </c>
      <c r="B54" s="2" t="n">
        <v>1503237</v>
      </c>
      <c r="C54" s="3" t="n">
        <v>45103</v>
      </c>
      <c r="D54" s="3" t="n">
        <v>1458134</v>
      </c>
      <c r="E54" s="2" t="n">
        <v>3.09</v>
      </c>
      <c r="F54" s="7" t="n">
        <f aca="false">DATEDIF(A40,A54,"d")</f>
        <v>59</v>
      </c>
      <c r="G54" s="2" t="n">
        <v>59</v>
      </c>
      <c r="H54" s="7" t="n">
        <f aca="false">ROUND((C54-C53)/(A54-A53),0)</f>
        <v>7087</v>
      </c>
      <c r="I54" s="7" t="n">
        <f aca="false">ROUND((C54-79029)/(A54-DATE(2024,10,22)),0)</f>
        <v>-63</v>
      </c>
      <c r="J54" s="2" t="n">
        <v>10.23</v>
      </c>
      <c r="K54" s="2" t="n">
        <v>35.17</v>
      </c>
      <c r="L54" s="2" t="n">
        <v>54.61</v>
      </c>
    </row>
    <row r="55" customFormat="false" ht="15.75" hidden="false" customHeight="false" outlineLevel="0" collapsed="false">
      <c r="A55" s="6" t="n">
        <v>46130</v>
      </c>
      <c r="B55" s="2" t="n">
        <v>1512255</v>
      </c>
      <c r="C55" s="3" t="n">
        <v>54121</v>
      </c>
      <c r="D55" s="3" t="n">
        <v>1458134</v>
      </c>
      <c r="E55" s="2" t="n">
        <v>3.71</v>
      </c>
      <c r="F55" s="2" t="s">
        <v>12</v>
      </c>
      <c r="G55" s="2" t="n">
        <v>59</v>
      </c>
      <c r="H55" s="7" t="n">
        <f aca="false">ROUND((C55-C54)/(A55-A54),0)</f>
        <v>9018</v>
      </c>
      <c r="I55" s="7" t="n">
        <f aca="false">ROUND((C55-79029)/(A55-DATE(2024,10,22)),0)</f>
        <v>-46</v>
      </c>
      <c r="J55" s="2" t="n">
        <v>10.17</v>
      </c>
      <c r="K55" s="2" t="n">
        <v>35.2</v>
      </c>
      <c r="L55" s="2" t="n">
        <v>54.63</v>
      </c>
    </row>
    <row r="56" customFormat="false" ht="15.75" hidden="false" customHeight="false" outlineLevel="0" collapsed="false">
      <c r="A56" s="6" t="n">
        <v>46133</v>
      </c>
      <c r="B56" s="2" t="n">
        <v>1523394</v>
      </c>
      <c r="C56" s="3" t="n">
        <v>65260</v>
      </c>
      <c r="D56" s="3" t="n">
        <v>1458134</v>
      </c>
      <c r="E56" s="2" t="n">
        <v>4.48</v>
      </c>
      <c r="F56" s="2" t="s">
        <v>12</v>
      </c>
      <c r="G56" s="2" t="n">
        <v>59</v>
      </c>
      <c r="H56" s="7" t="n">
        <f aca="false">ROUND((C56-C55)/(A56-A55),0)</f>
        <v>3713</v>
      </c>
      <c r="I56" s="7" t="n">
        <f aca="false">ROUND((C56-79029)/(A56-DATE(2024,10,22)),0)</f>
        <v>-25</v>
      </c>
      <c r="J56" s="2" t="n">
        <v>10.1</v>
      </c>
      <c r="K56" s="2" t="n">
        <v>35.15</v>
      </c>
      <c r="L56" s="2" t="n">
        <v>54.75</v>
      </c>
    </row>
    <row r="57" customFormat="false" ht="15.75" hidden="false" customHeight="false" outlineLevel="0" collapsed="false">
      <c r="A57" s="6" t="n">
        <v>46135</v>
      </c>
      <c r="B57" s="2" t="n">
        <v>1501140</v>
      </c>
      <c r="C57" s="3" t="n">
        <v>43006</v>
      </c>
      <c r="D57" s="3" t="n">
        <v>1458134</v>
      </c>
      <c r="E57" s="2" t="n">
        <v>2.95</v>
      </c>
      <c r="F57" s="2" t="s">
        <v>12</v>
      </c>
      <c r="G57" s="2" t="n">
        <v>59</v>
      </c>
      <c r="H57" s="7" t="n">
        <f aca="false">ROUND((C57-C56)/(A57-A56),0)</f>
        <v>-11127</v>
      </c>
      <c r="I57" s="7" t="n">
        <f aca="false">ROUND((C57-79029)/(A57-DATE(2024,10,22)),0)</f>
        <v>-66</v>
      </c>
      <c r="J57" s="2" t="n">
        <v>10.25</v>
      </c>
      <c r="K57" s="2" t="n">
        <v>35.23</v>
      </c>
      <c r="L57" s="2" t="n">
        <v>54.52</v>
      </c>
    </row>
    <row r="58" customFormat="false" ht="15.75" hidden="false" customHeight="false" outlineLevel="0" collapsed="false">
      <c r="A58" s="6" t="n">
        <v>46139</v>
      </c>
      <c r="B58" s="2" t="n">
        <v>1784369</v>
      </c>
      <c r="C58" s="3" t="n">
        <v>26235</v>
      </c>
      <c r="D58" s="3" t="n">
        <v>1758134</v>
      </c>
      <c r="E58" s="2" t="n">
        <v>1.49</v>
      </c>
      <c r="F58" s="7" t="n">
        <f aca="false">DATEDIF(A54,A58,"d")</f>
        <v>10</v>
      </c>
      <c r="G58" s="2" t="n">
        <v>10</v>
      </c>
      <c r="H58" s="7" t="n">
        <f aca="false">ROUND((C58-C57)/(A58-A57),0)</f>
        <v>-4193</v>
      </c>
      <c r="I58" s="7" t="n">
        <f aca="false">ROUND((C58-79029)/(A58-DATE(2024,10,22)),0)</f>
        <v>-96</v>
      </c>
      <c r="J58" s="2" t="n">
        <v>25.44</v>
      </c>
      <c r="K58" s="2" t="n">
        <v>29.25</v>
      </c>
      <c r="L58" s="2" t="n">
        <v>45.31</v>
      </c>
    </row>
    <row r="59" customFormat="false" ht="15.75" hidden="false" customHeight="false" outlineLevel="0" collapsed="false">
      <c r="A59" s="6" t="n">
        <v>46140</v>
      </c>
      <c r="B59" s="2" t="n">
        <v>1798320</v>
      </c>
      <c r="C59" s="3" t="n">
        <v>39186</v>
      </c>
      <c r="D59" s="3" t="n">
        <v>1759134</v>
      </c>
      <c r="E59" s="2" t="n">
        <v>2.23</v>
      </c>
      <c r="F59" s="2" t="s">
        <v>12</v>
      </c>
      <c r="G59" s="2" t="n">
        <v>10</v>
      </c>
      <c r="H59" s="7" t="n">
        <f aca="false">ROUND((C59-C58)/(A59-A58),0)</f>
        <v>12951</v>
      </c>
      <c r="I59" s="7" t="n">
        <f aca="false">ROUND((C59-79029)/(A59-DATE(2024,10,22)),0)</f>
        <v>-72</v>
      </c>
      <c r="J59" s="2" t="n">
        <v>25.3</v>
      </c>
      <c r="K59" s="2" t="n">
        <v>29.37</v>
      </c>
      <c r="L59" s="2" t="n">
        <v>45.33</v>
      </c>
    </row>
    <row r="60" customFormat="false" ht="15.75" hidden="false" customHeight="false" outlineLevel="0" collapsed="false">
      <c r="A60" s="6" t="n">
        <v>46142</v>
      </c>
      <c r="B60" s="2" t="n">
        <v>1802957</v>
      </c>
      <c r="C60" s="3" t="n">
        <v>41823</v>
      </c>
      <c r="D60" s="3" t="n">
        <v>1761134</v>
      </c>
      <c r="E60" s="2" t="n">
        <v>2.37</v>
      </c>
      <c r="F60" s="7" t="n">
        <f aca="false">DATEDIF(A56,A58,"d")</f>
        <v>6</v>
      </c>
      <c r="G60" s="2" t="n">
        <v>6</v>
      </c>
      <c r="H60" s="7" t="n">
        <f aca="false">ROUND((C60-C59)/(A60-A59),0)</f>
        <v>1319</v>
      </c>
      <c r="I60" s="7" t="n">
        <f aca="false">ROUND((C60-79029)/(A60-DATE(2024,10,22)),0)</f>
        <v>-67</v>
      </c>
      <c r="J60" s="2" t="n">
        <v>25.24</v>
      </c>
      <c r="K60" s="2" t="n">
        <v>29.31</v>
      </c>
      <c r="L60" s="2" t="n">
        <v>45.45</v>
      </c>
    </row>
    <row r="61" customFormat="false" ht="15.75" hidden="false" customHeight="false" outlineLevel="0" collapsed="false">
      <c r="A61" s="6" t="n">
        <v>46147</v>
      </c>
      <c r="B61" s="2" t="n">
        <v>1251084</v>
      </c>
      <c r="C61" s="3" t="n">
        <v>2673</v>
      </c>
      <c r="D61" s="3" t="n">
        <v>1248412</v>
      </c>
      <c r="E61" s="2" t="n">
        <v>0.21</v>
      </c>
      <c r="F61" s="2" t="s">
        <v>12</v>
      </c>
      <c r="G61" s="2" t="n">
        <v>6</v>
      </c>
      <c r="H61" s="7" t="n">
        <f aca="false">ROUND((C61-C60)/(A61-A60),0)</f>
        <v>-7830</v>
      </c>
      <c r="I61" s="7" t="n">
        <f aca="false">ROUND((C61-79029)/(A61-DATE(2024,10,22)),0)</f>
        <v>-136</v>
      </c>
      <c r="J61" s="2" t="n">
        <v>0.51</v>
      </c>
      <c r="K61" s="2" t="n">
        <v>34.08</v>
      </c>
      <c r="L61" s="2" t="n">
        <v>65.4</v>
      </c>
    </row>
    <row r="62" customFormat="false" ht="15.75" hidden="false" customHeight="false" outlineLevel="0" collapsed="false">
      <c r="A62" s="6" t="n">
        <v>46149</v>
      </c>
      <c r="B62" s="2" t="n">
        <v>1262565</v>
      </c>
      <c r="C62" s="3" t="n">
        <v>14153</v>
      </c>
      <c r="D62" s="3" t="n">
        <v>1248412</v>
      </c>
      <c r="E62" s="2" t="n">
        <v>1.13</v>
      </c>
      <c r="F62" s="2" t="s">
        <v>12</v>
      </c>
      <c r="G62" s="2" t="n">
        <v>6</v>
      </c>
      <c r="H62" s="7" t="n">
        <f aca="false">ROUND((C62-C61)/(A62-A61),0)</f>
        <v>5740</v>
      </c>
      <c r="I62" s="7" t="n">
        <f aca="false">ROUND((C62-79029)/(A62-DATE(2024,10,22)),0)</f>
        <v>-115</v>
      </c>
      <c r="J62" s="2" t="n">
        <v>0.51</v>
      </c>
      <c r="K62" s="2" t="n">
        <v>34.17</v>
      </c>
      <c r="L62" s="2" t="n">
        <v>65.32</v>
      </c>
    </row>
    <row r="63" customFormat="false" ht="15.75" hidden="false" customHeight="false" outlineLevel="0" collapsed="false">
      <c r="A63" s="6" t="n">
        <v>46150</v>
      </c>
      <c r="B63" s="2" t="n">
        <v>1302563</v>
      </c>
      <c r="C63" s="3" t="n">
        <v>14151</v>
      </c>
      <c r="D63" s="3" t="n">
        <v>1288412</v>
      </c>
      <c r="E63" s="2" t="n">
        <v>1.1</v>
      </c>
      <c r="F63" s="7" t="n">
        <f aca="false">DATEDIF(A60,A63,"d")</f>
        <v>8</v>
      </c>
      <c r="G63" s="2" t="n">
        <v>8</v>
      </c>
      <c r="H63" s="7" t="n">
        <f aca="false">ROUND((C63-C62)/(A63-A62),0)</f>
        <v>-2</v>
      </c>
      <c r="I63" s="7" t="n">
        <f aca="false">ROUND((C63-79029)/(A63-DATE(2024,10,22)),0)</f>
        <v>-115</v>
      </c>
      <c r="J63" s="2" t="n">
        <v>3.56</v>
      </c>
      <c r="K63" s="2" t="n">
        <v>33.13</v>
      </c>
      <c r="L63" s="2" t="n">
        <v>63.31</v>
      </c>
    </row>
    <row r="64" customFormat="false" ht="15.75" hidden="false" customHeight="false" outlineLevel="0" collapsed="false">
      <c r="A64" s="6" t="n">
        <v>46155</v>
      </c>
      <c r="B64" s="2" t="n">
        <v>1253493</v>
      </c>
      <c r="C64" s="3" t="n">
        <v>-34919</v>
      </c>
      <c r="D64" s="3" t="n">
        <v>1288412</v>
      </c>
      <c r="E64" s="2" t="n">
        <v>-2.71</v>
      </c>
      <c r="F64" s="2" t="s">
        <v>12</v>
      </c>
      <c r="G64" s="2" t="n">
        <v>8</v>
      </c>
      <c r="H64" s="7" t="n">
        <f aca="false">ROUND((C64-C63)/(A64-A63),0)</f>
        <v>-9814</v>
      </c>
      <c r="I64" s="7" t="n">
        <f aca="false">ROUND((C64-79029)/(A64-DATE(2024,10,22)),0)</f>
        <v>-201</v>
      </c>
      <c r="J64" s="2" t="n">
        <v>3.71</v>
      </c>
      <c r="K64" s="2" t="n">
        <v>33.2</v>
      </c>
      <c r="L64" s="2" t="n">
        <v>63.09</v>
      </c>
    </row>
    <row r="65" customFormat="false" ht="15.75" hidden="false" customHeight="false" outlineLevel="0" collapsed="false">
      <c r="A65" s="6" t="n">
        <v>46159</v>
      </c>
      <c r="B65" s="2" t="n">
        <v>1265447</v>
      </c>
      <c r="C65" s="3" t="n">
        <v>-24546</v>
      </c>
      <c r="D65" s="3" t="n">
        <v>1289993</v>
      </c>
      <c r="E65" s="2" t="n">
        <v>-1.9</v>
      </c>
      <c r="F65" s="2" t="s">
        <v>12</v>
      </c>
      <c r="G65" s="2" t="n">
        <v>8</v>
      </c>
      <c r="H65" s="7" t="n">
        <f aca="false">ROUND((C65-C64)/(A65-A64),0)</f>
        <v>2593</v>
      </c>
      <c r="I65" s="7" t="n">
        <f aca="false">ROUND((C65-79029)/(A65-DATE(2024,10,22)),0)</f>
        <v>-181</v>
      </c>
      <c r="J65" s="2" t="n">
        <v>3.8</v>
      </c>
      <c r="K65" s="2" t="n">
        <v>33.04</v>
      </c>
      <c r="L65" s="2" t="n">
        <v>63.16</v>
      </c>
    </row>
    <row r="66" customFormat="false" ht="15.75" hidden="false" customHeight="false" outlineLevel="0" collapsed="false">
      <c r="A66" s="6" t="n">
        <v>46162</v>
      </c>
      <c r="B66" s="2" t="n">
        <v>1263500</v>
      </c>
      <c r="C66" s="3" t="n">
        <v>-26492</v>
      </c>
      <c r="D66" s="3" t="n">
        <v>1289993</v>
      </c>
      <c r="E66" s="2" t="n">
        <v>-2.05</v>
      </c>
      <c r="F66" s="2" t="s">
        <v>12</v>
      </c>
      <c r="G66" s="2" t="n">
        <v>8</v>
      </c>
      <c r="H66" s="7" t="n">
        <f aca="false">ROUND((C66-C65)/(A66-A65),0)</f>
        <v>-649</v>
      </c>
      <c r="I66" s="7" t="n">
        <f aca="false">ROUND((C66-79029)/(A66-DATE(2024,10,22)),0)</f>
        <v>-184</v>
      </c>
      <c r="J66" s="2" t="n">
        <v>3.81</v>
      </c>
      <c r="K66" s="2" t="n">
        <v>32.98</v>
      </c>
      <c r="L66" s="2" t="n">
        <v>63.21</v>
      </c>
    </row>
    <row r="67" customFormat="false" ht="15.75" hidden="false" customHeight="false" outlineLevel="0" collapsed="false">
      <c r="A67" s="6" t="n">
        <v>46166</v>
      </c>
      <c r="B67" s="2" t="n">
        <v>1273676</v>
      </c>
      <c r="C67" s="3" t="n">
        <v>-21317</v>
      </c>
      <c r="D67" s="3" t="n">
        <v>1294993</v>
      </c>
      <c r="E67" s="2" t="n">
        <v>-1.65</v>
      </c>
      <c r="F67" s="2" t="s">
        <v>12</v>
      </c>
      <c r="G67" s="2" t="n">
        <v>8</v>
      </c>
      <c r="H67" s="7" t="n">
        <f aca="false">ROUND((C67-C66)/(A67-A66),0)</f>
        <v>1294</v>
      </c>
      <c r="I67" s="7" t="n">
        <f aca="false">ROUND((C67-79029)/(A67-DATE(2024,10,22)),0)</f>
        <v>-173</v>
      </c>
      <c r="J67" s="2" t="n">
        <v>4.17</v>
      </c>
      <c r="K67" s="2" t="n">
        <v>32.88</v>
      </c>
      <c r="L67" s="2" t="n">
        <v>62.95</v>
      </c>
    </row>
    <row r="68" customFormat="false" ht="15.75" hidden="false" customHeight="false" outlineLevel="0" collapsed="false">
      <c r="A68" s="6" t="n">
        <v>46171</v>
      </c>
      <c r="B68" s="2" t="n">
        <v>1333127</v>
      </c>
      <c r="C68" s="3" t="n">
        <v>-11866</v>
      </c>
      <c r="D68" s="3" t="n">
        <v>1344993</v>
      </c>
      <c r="E68" s="2" t="n">
        <v>-0.88</v>
      </c>
      <c r="F68" s="2" t="s">
        <v>12</v>
      </c>
      <c r="G68" s="2" t="n">
        <v>8</v>
      </c>
      <c r="H68" s="7" t="n">
        <f aca="false">ROUND((C68-C67)/(A68-A67),0)</f>
        <v>1890</v>
      </c>
      <c r="I68" s="7" t="n">
        <f aca="false">ROUND((C68-79029)/(A68-DATE(2024,10,22)),0)</f>
        <v>-156</v>
      </c>
      <c r="J68" s="2" t="n">
        <v>7.74</v>
      </c>
      <c r="K68" s="2" t="n">
        <v>31.7</v>
      </c>
      <c r="L68" s="2" t="n">
        <v>60.56</v>
      </c>
    </row>
    <row r="69" customFormat="false" ht="15.75" hidden="false" customHeight="false" outlineLevel="0" collapsed="false">
      <c r="A69" s="6" t="n">
        <v>46172</v>
      </c>
      <c r="B69" s="2" t="n">
        <v>1316339</v>
      </c>
      <c r="C69" s="3" t="n">
        <v>-28654</v>
      </c>
      <c r="D69" s="3" t="n">
        <v>1344993</v>
      </c>
      <c r="E69" s="2" t="n">
        <v>-2.13</v>
      </c>
      <c r="F69" s="2" t="s">
        <v>12</v>
      </c>
      <c r="G69" s="2" t="n">
        <v>8</v>
      </c>
      <c r="H69" s="7" t="n">
        <f aca="false">ROUND((C69-C68)/(A69-A68),0)</f>
        <v>-16788</v>
      </c>
      <c r="I69" s="7" t="n">
        <f aca="false">ROUND((C69-79029)/(A69-DATE(2024,10,22)),0)</f>
        <v>-184</v>
      </c>
      <c r="J69" s="2" t="n">
        <v>7.84</v>
      </c>
      <c r="K69" s="2" t="n">
        <v>31.72</v>
      </c>
      <c r="L69" s="2" t="n">
        <v>60.44</v>
      </c>
    </row>
    <row r="70" customFormat="false" ht="15.75" hidden="false" customHeight="false" outlineLevel="0" collapsed="false">
      <c r="A70" s="6" t="n">
        <v>46180</v>
      </c>
      <c r="B70" s="2" t="n">
        <v>1308041</v>
      </c>
      <c r="C70" s="3" t="n">
        <v>-36951</v>
      </c>
      <c r="D70" s="3" t="n">
        <v>1344993</v>
      </c>
      <c r="E70" s="2" t="n">
        <v>-2.75</v>
      </c>
      <c r="F70" s="2" t="s">
        <v>12</v>
      </c>
      <c r="G70" s="2" t="n">
        <v>8</v>
      </c>
      <c r="H70" s="7" t="n">
        <f aca="false">ROUND((C70-C69)/(A70-A69),0)</f>
        <v>-1037</v>
      </c>
      <c r="I70" s="7" t="n">
        <f aca="false">ROUND((C70-79029)/(A70-DATE(2024,10,22)),0)</f>
        <v>-196</v>
      </c>
      <c r="J70" s="2" t="n">
        <v>7.9</v>
      </c>
      <c r="K70" s="2" t="n">
        <v>31.69</v>
      </c>
      <c r="L70" s="2" t="n">
        <v>60.41</v>
      </c>
    </row>
    <row r="71" customFormat="false" ht="15.75" hidden="false" customHeight="false" outlineLevel="0" collapsed="false">
      <c r="A71" s="6" t="n">
        <v>46181</v>
      </c>
      <c r="B71" s="2" t="n">
        <v>1305492</v>
      </c>
      <c r="C71" s="3" t="n">
        <v>-49501</v>
      </c>
      <c r="D71" s="3" t="n">
        <v>1354993</v>
      </c>
      <c r="E71" s="2" t="n">
        <v>-3.65</v>
      </c>
      <c r="F71" s="2" t="s">
        <v>12</v>
      </c>
      <c r="G71" s="2" t="n">
        <v>8</v>
      </c>
      <c r="H71" s="7" t="n">
        <f aca="false">ROUND((C71-C70)/(A71-A70),0)</f>
        <v>-12550</v>
      </c>
      <c r="I71" s="7" t="n">
        <f aca="false">ROUND((C71-79029)/(A71-DATE(2024,10,22)),0)</f>
        <v>-216</v>
      </c>
      <c r="J71" s="2" t="n">
        <v>8.69</v>
      </c>
      <c r="K71" s="2" t="n">
        <v>31.39</v>
      </c>
      <c r="L71" s="2" t="n">
        <v>59.92</v>
      </c>
    </row>
    <row r="72" customFormat="false" ht="15.75" hidden="false" customHeight="false" outlineLevel="0" collapsed="false">
      <c r="A72" s="6" t="n">
        <v>46183</v>
      </c>
      <c r="B72" s="2" t="n">
        <v>1313170</v>
      </c>
      <c r="C72" s="3" t="n">
        <v>-41823</v>
      </c>
      <c r="D72" s="3" t="n">
        <v>1354993</v>
      </c>
      <c r="E72" s="2" t="n">
        <v>-3.09</v>
      </c>
      <c r="F72" s="2" t="s">
        <v>12</v>
      </c>
      <c r="G72" s="2" t="n">
        <v>8</v>
      </c>
      <c r="H72" s="7" t="n">
        <f aca="false">ROUND((C72-C71)/(A72-A71),0)</f>
        <v>3839</v>
      </c>
      <c r="I72" s="7" t="n">
        <f aca="false">ROUND((C72-79029)/(A72-DATE(2024,10,22)),0)</f>
        <v>-203</v>
      </c>
      <c r="J72" s="2" t="n">
        <v>8.64</v>
      </c>
      <c r="K72" s="2" t="n">
        <v>31.48</v>
      </c>
      <c r="L72" s="2" t="n">
        <v>59.88</v>
      </c>
    </row>
    <row r="73" customFormat="false" ht="15.75" hidden="false" customHeight="false" outlineLevel="0" collapsed="false">
      <c r="A73" s="6" t="n">
        <v>46186</v>
      </c>
      <c r="B73" s="2" t="n">
        <v>1334961</v>
      </c>
      <c r="C73" s="3" t="n">
        <v>-20032</v>
      </c>
      <c r="D73" s="3" t="n">
        <v>1354993</v>
      </c>
      <c r="E73" s="2" t="n">
        <v>-1.48</v>
      </c>
      <c r="F73" s="2" t="s">
        <v>12</v>
      </c>
      <c r="G73" s="2" t="n">
        <v>8</v>
      </c>
      <c r="H73" s="7" t="n">
        <f aca="false">ROUND((C73-C72)/(A73-A72),0)</f>
        <v>7264</v>
      </c>
      <c r="I73" s="7" t="n">
        <f aca="false">ROUND((C73-79029)/(A73-DATE(2024,10,22)),0)</f>
        <v>-165</v>
      </c>
      <c r="J73" s="2" t="n">
        <v>8.5</v>
      </c>
      <c r="K73" s="2" t="n">
        <v>31.42</v>
      </c>
      <c r="L73" s="2" t="n">
        <v>60.07</v>
      </c>
    </row>
    <row r="74" customFormat="false" ht="15.75" hidden="false" customHeight="false" outlineLevel="0" collapsed="false">
      <c r="A74" s="6" t="n">
        <v>46188</v>
      </c>
      <c r="B74" s="2" t="n">
        <v>1348442</v>
      </c>
      <c r="C74" s="3" t="n">
        <v>-6551</v>
      </c>
      <c r="D74" s="3" t="n">
        <v>1354993</v>
      </c>
      <c r="E74" s="2" t="n">
        <v>-0.48</v>
      </c>
      <c r="F74" s="2" t="s">
        <v>12</v>
      </c>
      <c r="G74" s="2" t="n">
        <v>8</v>
      </c>
      <c r="H74" s="7" t="n">
        <f aca="false">ROUND((C74-C73)/(A74-A73),0)</f>
        <v>6741</v>
      </c>
      <c r="I74" s="7" t="n">
        <f aca="false">ROUND((C74-79029)/(A74-DATE(2024,10,22)),0)</f>
        <v>-142</v>
      </c>
      <c r="J74" s="2" t="n">
        <v>8.42</v>
      </c>
      <c r="K74" s="2" t="n">
        <v>31.53</v>
      </c>
      <c r="L74" s="2" t="n">
        <v>60.05</v>
      </c>
    </row>
    <row r="75" customFormat="false" ht="15.75" hidden="false" customHeight="false" outlineLevel="0" collapsed="false">
      <c r="A75" s="6" t="n">
        <v>46189</v>
      </c>
      <c r="B75" s="2" t="n">
        <v>1356354</v>
      </c>
      <c r="C75" s="3" t="n">
        <v>1361</v>
      </c>
      <c r="D75" s="3" t="n">
        <v>1354993</v>
      </c>
      <c r="E75" s="2" t="n">
        <v>0.1</v>
      </c>
      <c r="F75" s="2" t="s">
        <v>12</v>
      </c>
      <c r="G75" s="2" t="n">
        <v>8</v>
      </c>
      <c r="H75" s="7" t="n">
        <f aca="false">ROUND((C75-C74)/(A75-A74),0)</f>
        <v>7912</v>
      </c>
      <c r="I75" s="7" t="n">
        <f aca="false">ROUND((C75-79029)/(A75-DATE(2024,10,22)),0)</f>
        <v>-129</v>
      </c>
      <c r="J75" s="2" t="n">
        <v>8.38</v>
      </c>
      <c r="K75" s="2" t="n">
        <v>31.53</v>
      </c>
      <c r="L75" s="2" t="n">
        <v>60.09</v>
      </c>
    </row>
    <row r="76" customFormat="false" ht="15.75" hidden="false" customHeight="false" outlineLevel="0" collapsed="false">
      <c r="A76" s="6" t="n">
        <v>46190</v>
      </c>
      <c r="B76" s="2" t="n">
        <v>1362354</v>
      </c>
      <c r="C76" s="3" t="n">
        <v>7361</v>
      </c>
      <c r="D76" s="3" t="n">
        <v>1354993</v>
      </c>
      <c r="E76" s="2" t="n">
        <v>0.54</v>
      </c>
      <c r="F76" s="2" t="s">
        <v>12</v>
      </c>
      <c r="G76" s="2" t="n">
        <v>8</v>
      </c>
      <c r="H76" s="7" t="n">
        <f aca="false">ROUND((C76-C75)/(A76-A75),0)</f>
        <v>6000</v>
      </c>
      <c r="I76" s="7" t="n">
        <f aca="false">ROUND((C76-79029)/(A76-DATE(2024,10,22)),0)</f>
        <v>-119</v>
      </c>
      <c r="J76" s="2" t="n">
        <v>8.34</v>
      </c>
      <c r="K76" s="2" t="n">
        <v>31.57</v>
      </c>
      <c r="L76" s="2" t="n">
        <v>60.08</v>
      </c>
    </row>
    <row r="77" customFormat="false" ht="15.75" hidden="false" customHeight="false" outlineLevel="0" collapsed="false">
      <c r="A77" s="6" t="n">
        <v>46191</v>
      </c>
      <c r="B77" s="2" t="n">
        <v>1366738</v>
      </c>
      <c r="C77" s="3" t="n">
        <v>11745</v>
      </c>
      <c r="D77" s="3" t="n">
        <v>1354993</v>
      </c>
      <c r="E77" s="2" t="n">
        <v>0.87</v>
      </c>
      <c r="F77" s="2" t="s">
        <v>12</v>
      </c>
      <c r="G77" s="2" t="n">
        <v>8</v>
      </c>
      <c r="H77" s="7" t="n">
        <f aca="false">ROUND((C77-C76)/(A77-A76),0)</f>
        <v>4384</v>
      </c>
      <c r="I77" s="7" t="n">
        <f aca="false">ROUND((C77-79029)/(A77-DATE(2024,10,22)),0)</f>
        <v>-111</v>
      </c>
      <c r="J77" s="2" t="n">
        <v>8.32</v>
      </c>
      <c r="K77" s="2" t="n">
        <v>31.59</v>
      </c>
      <c r="L77" s="2" t="n">
        <v>60.09</v>
      </c>
    </row>
    <row r="78" customFormat="false" ht="15.75" hidden="false" customHeight="false" outlineLevel="0" collapsed="false">
      <c r="A78" s="6" t="n">
        <v>46197</v>
      </c>
      <c r="B78" s="2" t="n">
        <v>1365274</v>
      </c>
      <c r="C78" s="3" t="n">
        <v>10281</v>
      </c>
      <c r="D78" s="3" t="n">
        <v>1354993</v>
      </c>
      <c r="E78" s="2" t="n">
        <v>0.76</v>
      </c>
      <c r="F78" s="2" t="s">
        <v>12</v>
      </c>
      <c r="G78" s="2" t="n">
        <v>8</v>
      </c>
      <c r="H78" s="7" t="n">
        <f aca="false">ROUND((C78-C77)/(A78-A77),0)</f>
        <v>-244</v>
      </c>
      <c r="I78" s="7" t="n">
        <f aca="false">ROUND((C78-79029)/(A78-DATE(2024,10,22)),0)</f>
        <v>-113</v>
      </c>
      <c r="J78" s="2" t="n">
        <v>8.33</v>
      </c>
      <c r="K78" s="2" t="n">
        <v>31.71</v>
      </c>
      <c r="L78" s="2" t="n">
        <v>59.95</v>
      </c>
    </row>
    <row r="79" customFormat="false" ht="15.75" hidden="false" customHeight="false" outlineLevel="0" collapsed="false">
      <c r="A79" s="6" t="n">
        <v>46206</v>
      </c>
      <c r="B79" s="2" t="n">
        <v>1377643</v>
      </c>
      <c r="C79" s="2" t="n">
        <v>22650</v>
      </c>
      <c r="D79" s="3" t="n">
        <v>1354993</v>
      </c>
      <c r="E79" s="2" t="n">
        <v>1.67</v>
      </c>
      <c r="F79" s="2" t="s">
        <v>12</v>
      </c>
      <c r="G79" s="2" t="n">
        <v>8</v>
      </c>
      <c r="H79" s="7" t="n">
        <f aca="false">ROUND((C79-C78)/(A79-A78),0)</f>
        <v>1374</v>
      </c>
      <c r="I79" s="7" t="n">
        <f aca="false">ROUND((C79-79029)/(A79-DATE(2024,10,22)),0)</f>
        <v>-91</v>
      </c>
      <c r="J79" s="2" t="n">
        <v>8.28</v>
      </c>
      <c r="K79" s="2" t="n">
        <v>31.68</v>
      </c>
      <c r="L79" s="2" t="n">
        <v>60.04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.75" hidden="false" customHeight="false" outlineLevel="0" collapsed="false">
      <c r="A80" s="6" t="n">
        <v>46211</v>
      </c>
      <c r="B80" s="2" t="n">
        <v>1383788</v>
      </c>
      <c r="C80" s="3" t="n">
        <v>28796</v>
      </c>
      <c r="D80" s="3" t="n">
        <v>1354993</v>
      </c>
      <c r="E80" s="2" t="n">
        <v>2.13</v>
      </c>
      <c r="F80" s="2" t="s">
        <v>12</v>
      </c>
      <c r="G80" s="2" t="n">
        <v>8</v>
      </c>
      <c r="H80" s="7" t="n">
        <f aca="false">ROUND((C80-C79)/(A80-A79),0)</f>
        <v>1229</v>
      </c>
      <c r="I80" s="7" t="n">
        <f aca="false">ROUND((C80-79029)/(A80-DATE(2024,10,22)),0)</f>
        <v>-81</v>
      </c>
      <c r="J80" s="2" t="n">
        <v>8.24</v>
      </c>
      <c r="K80" s="2" t="n">
        <v>31.66</v>
      </c>
      <c r="L80" s="2" t="n">
        <v>60.09</v>
      </c>
    </row>
    <row r="81" customFormat="false" ht="15.75" hidden="false" customHeight="false" outlineLevel="0" collapsed="false">
      <c r="A81" s="6" t="n">
        <v>46214</v>
      </c>
      <c r="B81" s="2" t="n">
        <v>1375390</v>
      </c>
      <c r="C81" s="3" t="n">
        <v>20397</v>
      </c>
      <c r="D81" s="3" t="n">
        <v>1354993</v>
      </c>
      <c r="E81" s="2" t="n">
        <v>1.51</v>
      </c>
      <c r="F81" s="2" t="s">
        <v>12</v>
      </c>
      <c r="G81" s="2" t="n">
        <v>8</v>
      </c>
      <c r="H81" s="7" t="n">
        <f aca="false">ROUND((C81-C80)/(A81-A80),0)</f>
        <v>-2800</v>
      </c>
      <c r="I81" s="7" t="n">
        <f aca="false">ROUND((C81-79029)/(A81-DATE(2024,10,22)),0)</f>
        <v>-94</v>
      </c>
      <c r="J81" s="2" t="n">
        <v>8.3</v>
      </c>
      <c r="K81" s="2" t="n">
        <v>31.7</v>
      </c>
      <c r="L81" s="2" t="n">
        <v>60</v>
      </c>
    </row>
    <row r="82" customFormat="false" ht="15.75" hidden="false" customHeight="false" outlineLevel="0" collapsed="false">
      <c r="A82" s="6" t="n">
        <v>46221</v>
      </c>
      <c r="B82" s="2" t="n">
        <v>1380795</v>
      </c>
      <c r="C82" s="3" t="n">
        <v>25802</v>
      </c>
      <c r="D82" s="3" t="n">
        <v>1354993</v>
      </c>
      <c r="E82" s="2" t="n">
        <v>1.9</v>
      </c>
      <c r="F82" s="2" t="s">
        <v>12</v>
      </c>
      <c r="G82" s="2" t="n">
        <v>8</v>
      </c>
      <c r="H82" s="7" t="n">
        <f aca="false">ROUND((C82-C81)/(A82-A81),0)</f>
        <v>772</v>
      </c>
      <c r="I82" s="7" t="n">
        <f aca="false">ROUND((C82-79029)/(A82-DATE(2024,10,22)),0)</f>
        <v>-84</v>
      </c>
      <c r="J82" s="2" t="n">
        <v>8.28</v>
      </c>
      <c r="K82" s="2" t="n">
        <v>31.55</v>
      </c>
      <c r="L82" s="2" t="n">
        <v>60.17</v>
      </c>
    </row>
    <row r="83" customFormat="false" ht="15.75" hidden="false" customHeight="false" outlineLevel="0" collapsed="false">
      <c r="A83" s="6" t="n">
        <v>46228</v>
      </c>
      <c r="B83" s="2" t="n">
        <v>1374871</v>
      </c>
      <c r="C83" s="3" t="n">
        <v>19878</v>
      </c>
      <c r="D83" s="3" t="n">
        <v>1354993</v>
      </c>
      <c r="E83" s="2" t="n">
        <v>1.47</v>
      </c>
      <c r="F83" s="2" t="s">
        <v>12</v>
      </c>
      <c r="G83" s="2" t="n">
        <v>8</v>
      </c>
      <c r="H83" s="7" t="n">
        <f aca="false">ROUND((C83-C82)/(A83-A82),0)</f>
        <v>-846</v>
      </c>
      <c r="I83" s="7" t="n">
        <f aca="false">ROUND((C83-79029)/(A83-DATE(2024,10,22)),0)</f>
        <v>-92</v>
      </c>
      <c r="J83" s="2" t="n">
        <v>8.32</v>
      </c>
      <c r="K83" s="2" t="n">
        <v>31.56</v>
      </c>
      <c r="L83" s="2" t="n">
        <v>60.13</v>
      </c>
    </row>
    <row r="84" customFormat="false" ht="15.75" hidden="false" customHeight="false" outlineLevel="0" collapsed="false">
      <c r="A84" s="6" t="n">
        <v>46231</v>
      </c>
      <c r="B84" s="2" t="n">
        <v>1367227</v>
      </c>
      <c r="C84" s="3" t="n">
        <v>11234</v>
      </c>
      <c r="D84" s="3" t="n">
        <v>1355993</v>
      </c>
      <c r="E84" s="2" t="n">
        <v>0.83</v>
      </c>
      <c r="F84" s="2" t="s">
        <v>12</v>
      </c>
      <c r="G84" s="2" t="n">
        <v>8</v>
      </c>
      <c r="H84" s="7" t="n">
        <f aca="false">ROUND((C84-C83)/(A84-A83),0)</f>
        <v>-2881</v>
      </c>
      <c r="I84" s="7" t="n">
        <f aca="false">ROUND((C84-79029)/(A84-DATE(2024,10,22)),0)</f>
        <v>-105</v>
      </c>
      <c r="J84" s="2" t="n">
        <v>8.44</v>
      </c>
      <c r="K84" s="2" t="n">
        <v>31.7</v>
      </c>
      <c r="L84" s="2" t="n">
        <v>59.86</v>
      </c>
    </row>
    <row r="85" customFormat="false" ht="15.75" hidden="false" customHeight="false" outlineLevel="0" collapsed="false">
      <c r="A85" s="6" t="n">
        <v>46234</v>
      </c>
      <c r="B85" s="2" t="n">
        <v>1383580</v>
      </c>
      <c r="C85" s="3" t="n">
        <v>26587</v>
      </c>
      <c r="D85" s="3" t="n">
        <v>1356993</v>
      </c>
      <c r="E85" s="2" t="n">
        <v>1.96</v>
      </c>
      <c r="F85" s="2" t="s">
        <v>12</v>
      </c>
      <c r="G85" s="2" t="n">
        <v>8</v>
      </c>
      <c r="H85" s="7" t="n">
        <f aca="false">ROUND((C85-C84)/(A85-A84),0)</f>
        <v>5118</v>
      </c>
      <c r="I85" s="7" t="n">
        <f aca="false">ROUND((C85-79029)/(A85-DATE(2024,10,22)),0)</f>
        <v>-81</v>
      </c>
      <c r="J85" s="2" t="n">
        <v>8.42</v>
      </c>
      <c r="K85" s="2" t="n">
        <v>31.61</v>
      </c>
      <c r="L85" s="2" t="n">
        <v>59.97</v>
      </c>
    </row>
    <row r="86" customFormat="false" ht="15.75" hidden="false" customHeight="false" outlineLevel="0" collapsed="false">
      <c r="A86" s="6" t="n">
        <v>46238</v>
      </c>
      <c r="B86" s="2" t="n">
        <v>1409494</v>
      </c>
      <c r="C86" s="3" t="n">
        <v>47501</v>
      </c>
      <c r="D86" s="3" t="n">
        <v>1361993</v>
      </c>
      <c r="E86" s="2" t="n">
        <v>3.49</v>
      </c>
      <c r="F86" s="2" t="n">
        <f aca="false">DATEDIF(A63,A86,"d")</f>
        <v>88</v>
      </c>
      <c r="G86" s="2" t="n">
        <v>88</v>
      </c>
      <c r="H86" s="7" t="n">
        <f aca="false">ROUND((C86-C85)/(A86-A85),0)</f>
        <v>5229</v>
      </c>
      <c r="I86" s="7" t="n">
        <f aca="false">ROUND((C86-79029)/(A86-DATE(2024,10,22)),0)</f>
        <v>-48</v>
      </c>
      <c r="J86" s="2" t="n">
        <v>8.63</v>
      </c>
      <c r="K86" s="2" t="n">
        <v>31.7</v>
      </c>
      <c r="L86" s="2" t="n">
        <v>59.67</v>
      </c>
    </row>
    <row r="87" customFormat="false" ht="15.75" hidden="false" customHeight="false" outlineLevel="0" collapsed="false">
      <c r="A87" s="6" t="n">
        <v>46240</v>
      </c>
      <c r="B87" s="2" t="n">
        <v>1305742</v>
      </c>
      <c r="C87" s="3" t="n">
        <v>45816</v>
      </c>
      <c r="D87" s="3" t="n">
        <v>1259926</v>
      </c>
      <c r="E87" s="2" t="n">
        <v>3.64</v>
      </c>
      <c r="F87" s="2" t="s">
        <v>12</v>
      </c>
      <c r="G87" s="2" t="n">
        <v>88</v>
      </c>
      <c r="H87" s="7" t="n">
        <f aca="false">ROUND((C87-C86)/(A87-A86),0)</f>
        <v>-843</v>
      </c>
      <c r="I87" s="7" t="n">
        <f aca="false">ROUND((C87-79029)/(A87-DATE(2024,10,22)),0)</f>
        <v>-51</v>
      </c>
      <c r="J87" s="2" t="n">
        <v>9.32</v>
      </c>
      <c r="K87" s="2" t="n">
        <v>34.11</v>
      </c>
      <c r="L87" s="2" t="n">
        <v>56.57</v>
      </c>
    </row>
    <row r="88" customFormat="false" ht="15.75" hidden="false" customHeight="false" outlineLevel="0" collapsed="false">
      <c r="C88" s="16"/>
      <c r="D88" s="16"/>
    </row>
    <row r="89" customFormat="false" ht="15.75" hidden="false" customHeight="false" outlineLevel="0" collapsed="false">
      <c r="C89" s="16"/>
      <c r="D89" s="16"/>
    </row>
    <row r="90" customFormat="false" ht="15.75" hidden="false" customHeight="false" outlineLevel="0" collapsed="false">
      <c r="C90" s="16"/>
      <c r="D90" s="16"/>
    </row>
    <row r="91" customFormat="false" ht="15.75" hidden="false" customHeight="false" outlineLevel="0" collapsed="false">
      <c r="C91" s="16"/>
      <c r="D91" s="16"/>
    </row>
    <row r="92" customFormat="false" ht="15.75" hidden="false" customHeight="false" outlineLevel="0" collapsed="false">
      <c r="C92" s="16"/>
      <c r="D92" s="16"/>
    </row>
    <row r="93" customFormat="false" ht="15.75" hidden="false" customHeight="false" outlineLevel="0" collapsed="false">
      <c r="C93" s="16"/>
      <c r="D93" s="16"/>
    </row>
    <row r="94" customFormat="false" ht="15.75" hidden="false" customHeight="false" outlineLevel="0" collapsed="false">
      <c r="C94" s="16"/>
      <c r="D94" s="16"/>
    </row>
    <row r="95" customFormat="false" ht="15.75" hidden="false" customHeight="false" outlineLevel="0" collapsed="false">
      <c r="C95" s="16"/>
      <c r="D95" s="16"/>
    </row>
    <row r="96" customFormat="false" ht="15.75" hidden="false" customHeight="false" outlineLevel="0" collapsed="false">
      <c r="C96" s="16"/>
      <c r="D96" s="16"/>
    </row>
    <row r="97" customFormat="false" ht="15.75" hidden="false" customHeight="false" outlineLevel="0" collapsed="false">
      <c r="C97" s="16"/>
      <c r="D97" s="16"/>
    </row>
    <row r="98" customFormat="false" ht="15.75" hidden="false" customHeight="false" outlineLevel="0" collapsed="false">
      <c r="C98" s="16"/>
      <c r="D98" s="16"/>
    </row>
    <row r="99" customFormat="false" ht="15.75" hidden="false" customHeight="false" outlineLevel="0" collapsed="false">
      <c r="C99" s="16"/>
      <c r="D99" s="16"/>
    </row>
    <row r="100" customFormat="false" ht="15.75" hidden="false" customHeight="false" outlineLevel="0" collapsed="false">
      <c r="C100" s="16"/>
      <c r="D100" s="16"/>
    </row>
    <row r="101" customFormat="false" ht="15.75" hidden="false" customHeight="false" outlineLevel="0" collapsed="false">
      <c r="C101" s="16"/>
      <c r="D101" s="16"/>
    </row>
    <row r="102" customFormat="false" ht="15.75" hidden="false" customHeight="false" outlineLevel="0" collapsed="false">
      <c r="C102" s="16"/>
      <c r="D102" s="16"/>
    </row>
    <row r="103" customFormat="false" ht="15.75" hidden="false" customHeight="false" outlineLevel="0" collapsed="false">
      <c r="C103" s="16"/>
      <c r="D103" s="16"/>
    </row>
    <row r="104" customFormat="false" ht="15.75" hidden="false" customHeight="false" outlineLevel="0" collapsed="false">
      <c r="C104" s="16"/>
      <c r="D104" s="16"/>
    </row>
    <row r="105" customFormat="false" ht="15.75" hidden="false" customHeight="false" outlineLevel="0" collapsed="false">
      <c r="C105" s="16"/>
      <c r="D105" s="16"/>
    </row>
    <row r="106" customFormat="false" ht="15.75" hidden="false" customHeight="false" outlineLevel="0" collapsed="false">
      <c r="C106" s="16"/>
      <c r="D106" s="16"/>
    </row>
    <row r="107" customFormat="false" ht="15.75" hidden="false" customHeight="false" outlineLevel="0" collapsed="false">
      <c r="C107" s="16"/>
      <c r="D107" s="16"/>
    </row>
    <row r="108" customFormat="false" ht="15.75" hidden="false" customHeight="false" outlineLevel="0" collapsed="false">
      <c r="C108" s="16"/>
      <c r="D108" s="16"/>
    </row>
    <row r="109" customFormat="false" ht="15.75" hidden="false" customHeight="false" outlineLevel="0" collapsed="false">
      <c r="C109" s="16"/>
      <c r="D109" s="16"/>
    </row>
    <row r="110" customFormat="false" ht="15.75" hidden="false" customHeight="false" outlineLevel="0" collapsed="false">
      <c r="C110" s="16"/>
      <c r="D110" s="16"/>
    </row>
    <row r="111" customFormat="false" ht="15.75" hidden="false" customHeight="false" outlineLevel="0" collapsed="false">
      <c r="C111" s="16"/>
      <c r="D111" s="16"/>
    </row>
    <row r="112" customFormat="false" ht="15.75" hidden="false" customHeight="false" outlineLevel="0" collapsed="false">
      <c r="C112" s="16"/>
      <c r="D112" s="16"/>
    </row>
    <row r="113" customFormat="false" ht="15.75" hidden="false" customHeight="false" outlineLevel="0" collapsed="false">
      <c r="C113" s="16"/>
      <c r="D113" s="16"/>
    </row>
    <row r="114" customFormat="false" ht="15.75" hidden="false" customHeight="false" outlineLevel="0" collapsed="false">
      <c r="C114" s="16"/>
      <c r="D114" s="16"/>
    </row>
    <row r="115" customFormat="false" ht="15.75" hidden="false" customHeight="false" outlineLevel="0" collapsed="false">
      <c r="C115" s="16"/>
      <c r="D115" s="16"/>
    </row>
    <row r="116" customFormat="false" ht="15.75" hidden="false" customHeight="false" outlineLevel="0" collapsed="false">
      <c r="C116" s="16"/>
      <c r="D116" s="16"/>
    </row>
    <row r="117" customFormat="false" ht="15.75" hidden="false" customHeight="false" outlineLevel="0" collapsed="false">
      <c r="C117" s="16"/>
      <c r="D117" s="16"/>
    </row>
    <row r="118" customFormat="false" ht="15.75" hidden="false" customHeight="false" outlineLevel="0" collapsed="false">
      <c r="C118" s="16"/>
      <c r="D118" s="16"/>
    </row>
    <row r="119" customFormat="false" ht="15.75" hidden="false" customHeight="false" outlineLevel="0" collapsed="false">
      <c r="C119" s="16"/>
      <c r="D119" s="16"/>
    </row>
    <row r="120" customFormat="false" ht="15.75" hidden="false" customHeight="false" outlineLevel="0" collapsed="false">
      <c r="C120" s="16"/>
      <c r="D120" s="16"/>
    </row>
    <row r="121" customFormat="false" ht="15.75" hidden="false" customHeight="false" outlineLevel="0" collapsed="false">
      <c r="C121" s="16"/>
      <c r="D121" s="16"/>
    </row>
    <row r="122" customFormat="false" ht="15.75" hidden="false" customHeight="false" outlineLevel="0" collapsed="false">
      <c r="C122" s="16"/>
      <c r="D122" s="16"/>
    </row>
    <row r="123" customFormat="false" ht="15.75" hidden="false" customHeight="false" outlineLevel="0" collapsed="false">
      <c r="C123" s="16"/>
      <c r="D123" s="16"/>
    </row>
    <row r="124" customFormat="false" ht="15.75" hidden="false" customHeight="false" outlineLevel="0" collapsed="false">
      <c r="C124" s="16"/>
      <c r="D124" s="16"/>
    </row>
    <row r="125" customFormat="false" ht="15.75" hidden="false" customHeight="false" outlineLevel="0" collapsed="false">
      <c r="C125" s="16"/>
      <c r="D125" s="16"/>
    </row>
    <row r="126" customFormat="false" ht="15.75" hidden="false" customHeight="false" outlineLevel="0" collapsed="false">
      <c r="C126" s="16"/>
      <c r="D126" s="16"/>
    </row>
    <row r="127" customFormat="false" ht="15.75" hidden="false" customHeight="false" outlineLevel="0" collapsed="false">
      <c r="C127" s="16"/>
      <c r="D127" s="16"/>
    </row>
    <row r="128" customFormat="false" ht="15.75" hidden="false" customHeight="false" outlineLevel="0" collapsed="false">
      <c r="C128" s="16"/>
      <c r="D128" s="16"/>
    </row>
    <row r="129" customFormat="false" ht="15.75" hidden="false" customHeight="false" outlineLevel="0" collapsed="false">
      <c r="C129" s="16"/>
      <c r="D129" s="16"/>
    </row>
    <row r="130" customFormat="false" ht="15.75" hidden="false" customHeight="false" outlineLevel="0" collapsed="false">
      <c r="C130" s="16"/>
      <c r="D130" s="16"/>
    </row>
    <row r="131" customFormat="false" ht="15.75" hidden="false" customHeight="false" outlineLevel="0" collapsed="false">
      <c r="C131" s="16"/>
      <c r="D131" s="16"/>
    </row>
    <row r="132" customFormat="false" ht="15.75" hidden="false" customHeight="false" outlineLevel="0" collapsed="false">
      <c r="C132" s="16"/>
      <c r="D132" s="16"/>
    </row>
    <row r="133" customFormat="false" ht="15.75" hidden="false" customHeight="false" outlineLevel="0" collapsed="false">
      <c r="C133" s="16"/>
      <c r="D133" s="16"/>
    </row>
    <row r="134" customFormat="false" ht="15.75" hidden="false" customHeight="false" outlineLevel="0" collapsed="false">
      <c r="C134" s="16"/>
      <c r="D134" s="16"/>
    </row>
    <row r="135" customFormat="false" ht="15.75" hidden="false" customHeight="false" outlineLevel="0" collapsed="false">
      <c r="C135" s="16"/>
      <c r="D135" s="16"/>
    </row>
    <row r="136" customFormat="false" ht="15.75" hidden="false" customHeight="false" outlineLevel="0" collapsed="false">
      <c r="C136" s="16"/>
      <c r="D136" s="16"/>
    </row>
    <row r="137" customFormat="false" ht="15.75" hidden="false" customHeight="false" outlineLevel="0" collapsed="false">
      <c r="C137" s="16"/>
      <c r="D137" s="16"/>
    </row>
    <row r="138" customFormat="false" ht="15.75" hidden="false" customHeight="false" outlineLevel="0" collapsed="false">
      <c r="C138" s="16"/>
      <c r="D138" s="16"/>
    </row>
    <row r="139" customFormat="false" ht="15.75" hidden="false" customHeight="false" outlineLevel="0" collapsed="false">
      <c r="C139" s="16"/>
      <c r="D139" s="16"/>
    </row>
    <row r="140" customFormat="false" ht="15.75" hidden="false" customHeight="false" outlineLevel="0" collapsed="false">
      <c r="C140" s="16"/>
      <c r="D140" s="16"/>
    </row>
    <row r="141" customFormat="false" ht="15.75" hidden="false" customHeight="false" outlineLevel="0" collapsed="false">
      <c r="C141" s="16"/>
      <c r="D141" s="16"/>
    </row>
    <row r="142" customFormat="false" ht="15.75" hidden="false" customHeight="false" outlineLevel="0" collapsed="false">
      <c r="C142" s="16"/>
      <c r="D142" s="16"/>
    </row>
    <row r="143" customFormat="false" ht="15.75" hidden="false" customHeight="false" outlineLevel="0" collapsed="false">
      <c r="C143" s="16"/>
      <c r="D143" s="16"/>
    </row>
    <row r="144" customFormat="false" ht="15.75" hidden="false" customHeight="false" outlineLevel="0" collapsed="false">
      <c r="C144" s="16"/>
      <c r="D144" s="16"/>
    </row>
    <row r="145" customFormat="false" ht="15.75" hidden="false" customHeight="false" outlineLevel="0" collapsed="false">
      <c r="C145" s="16"/>
      <c r="D145" s="16"/>
    </row>
    <row r="146" customFormat="false" ht="15.75" hidden="false" customHeight="false" outlineLevel="0" collapsed="false">
      <c r="C146" s="16"/>
      <c r="D146" s="16"/>
    </row>
    <row r="147" customFormat="false" ht="15.75" hidden="false" customHeight="false" outlineLevel="0" collapsed="false">
      <c r="C147" s="16"/>
      <c r="D147" s="16"/>
    </row>
    <row r="148" customFormat="false" ht="15.75" hidden="false" customHeight="false" outlineLevel="0" collapsed="false">
      <c r="C148" s="16"/>
      <c r="D148" s="16"/>
    </row>
    <row r="149" customFormat="false" ht="15.75" hidden="false" customHeight="false" outlineLevel="0" collapsed="false">
      <c r="C149" s="16"/>
      <c r="D149" s="16"/>
    </row>
    <row r="150" customFormat="false" ht="15.75" hidden="false" customHeight="false" outlineLevel="0" collapsed="false">
      <c r="C150" s="16"/>
      <c r="D150" s="16"/>
    </row>
    <row r="151" customFormat="false" ht="15.75" hidden="false" customHeight="false" outlineLevel="0" collapsed="false">
      <c r="C151" s="16"/>
      <c r="D151" s="16"/>
    </row>
    <row r="152" customFormat="false" ht="15.75" hidden="false" customHeight="false" outlineLevel="0" collapsed="false">
      <c r="C152" s="16"/>
      <c r="D152" s="16"/>
    </row>
    <row r="153" customFormat="false" ht="15.75" hidden="false" customHeight="false" outlineLevel="0" collapsed="false">
      <c r="C153" s="16"/>
      <c r="D153" s="16"/>
    </row>
    <row r="154" customFormat="false" ht="15.75" hidden="false" customHeight="false" outlineLevel="0" collapsed="false">
      <c r="C154" s="16"/>
      <c r="D154" s="16"/>
    </row>
    <row r="155" customFormat="false" ht="15.75" hidden="false" customHeight="false" outlineLevel="0" collapsed="false">
      <c r="C155" s="16"/>
      <c r="D155" s="16"/>
    </row>
    <row r="156" customFormat="false" ht="15.75" hidden="false" customHeight="false" outlineLevel="0" collapsed="false">
      <c r="C156" s="16"/>
      <c r="D156" s="16"/>
    </row>
    <row r="157" customFormat="false" ht="15.75" hidden="false" customHeight="false" outlineLevel="0" collapsed="false">
      <c r="C157" s="16"/>
      <c r="D157" s="16"/>
    </row>
    <row r="158" customFormat="false" ht="15.75" hidden="false" customHeight="false" outlineLevel="0" collapsed="false">
      <c r="C158" s="16"/>
      <c r="D158" s="16"/>
    </row>
    <row r="159" customFormat="false" ht="15.75" hidden="false" customHeight="false" outlineLevel="0" collapsed="false">
      <c r="C159" s="16"/>
      <c r="D159" s="16"/>
    </row>
    <row r="160" customFormat="false" ht="15.75" hidden="false" customHeight="false" outlineLevel="0" collapsed="false">
      <c r="C160" s="16"/>
      <c r="D160" s="16"/>
    </row>
    <row r="161" customFormat="false" ht="15.75" hidden="false" customHeight="false" outlineLevel="0" collapsed="false">
      <c r="C161" s="16"/>
      <c r="D161" s="16"/>
    </row>
    <row r="162" customFormat="false" ht="15.75" hidden="false" customHeight="false" outlineLevel="0" collapsed="false">
      <c r="C162" s="16"/>
      <c r="D162" s="16"/>
    </row>
    <row r="163" customFormat="false" ht="15.75" hidden="false" customHeight="false" outlineLevel="0" collapsed="false">
      <c r="C163" s="16"/>
      <c r="D163" s="16"/>
    </row>
    <row r="164" customFormat="false" ht="15.75" hidden="false" customHeight="false" outlineLevel="0" collapsed="false">
      <c r="C164" s="16"/>
      <c r="D164" s="16"/>
    </row>
    <row r="165" customFormat="false" ht="15.75" hidden="false" customHeight="false" outlineLevel="0" collapsed="false">
      <c r="C165" s="16"/>
      <c r="D165" s="16"/>
    </row>
    <row r="166" customFormat="false" ht="15.75" hidden="false" customHeight="false" outlineLevel="0" collapsed="false">
      <c r="C166" s="16"/>
      <c r="D166" s="16"/>
    </row>
    <row r="167" customFormat="false" ht="15.75" hidden="false" customHeight="false" outlineLevel="0" collapsed="false">
      <c r="C167" s="16"/>
      <c r="D167" s="16"/>
    </row>
    <row r="168" customFormat="false" ht="15.75" hidden="false" customHeight="false" outlineLevel="0" collapsed="false">
      <c r="C168" s="16"/>
      <c r="D168" s="16"/>
    </row>
    <row r="169" customFormat="false" ht="15.75" hidden="false" customHeight="false" outlineLevel="0" collapsed="false">
      <c r="C169" s="16"/>
      <c r="D169" s="16"/>
    </row>
    <row r="170" customFormat="false" ht="15.75" hidden="false" customHeight="false" outlineLevel="0" collapsed="false">
      <c r="C170" s="16"/>
      <c r="D170" s="16"/>
    </row>
    <row r="171" customFormat="false" ht="15.75" hidden="false" customHeight="false" outlineLevel="0" collapsed="false">
      <c r="C171" s="16"/>
      <c r="D171" s="16"/>
    </row>
    <row r="172" customFormat="false" ht="15.75" hidden="false" customHeight="false" outlineLevel="0" collapsed="false">
      <c r="C172" s="16"/>
      <c r="D172" s="16"/>
    </row>
    <row r="173" customFormat="false" ht="15.75" hidden="false" customHeight="false" outlineLevel="0" collapsed="false">
      <c r="C173" s="16"/>
      <c r="D173" s="16"/>
    </row>
    <row r="174" customFormat="false" ht="15.75" hidden="false" customHeight="false" outlineLevel="0" collapsed="false">
      <c r="C174" s="16"/>
      <c r="D174" s="16"/>
    </row>
    <row r="175" customFormat="false" ht="15.75" hidden="false" customHeight="false" outlineLevel="0" collapsed="false">
      <c r="C175" s="16"/>
      <c r="D175" s="16"/>
    </row>
    <row r="176" customFormat="false" ht="15.75" hidden="false" customHeight="false" outlineLevel="0" collapsed="false">
      <c r="C176" s="16"/>
      <c r="D176" s="16"/>
    </row>
    <row r="177" customFormat="false" ht="15.75" hidden="false" customHeight="false" outlineLevel="0" collapsed="false">
      <c r="C177" s="16"/>
      <c r="D177" s="16"/>
    </row>
    <row r="178" customFormat="false" ht="15.75" hidden="false" customHeight="false" outlineLevel="0" collapsed="false">
      <c r="C178" s="16"/>
      <c r="D178" s="16"/>
    </row>
    <row r="179" customFormat="false" ht="15.75" hidden="false" customHeight="false" outlineLevel="0" collapsed="false">
      <c r="C179" s="16"/>
      <c r="D179" s="16"/>
    </row>
    <row r="180" customFormat="false" ht="15.75" hidden="false" customHeight="false" outlineLevel="0" collapsed="false">
      <c r="C180" s="16"/>
      <c r="D180" s="16"/>
    </row>
    <row r="181" customFormat="false" ht="15.75" hidden="false" customHeight="false" outlineLevel="0" collapsed="false">
      <c r="C181" s="16"/>
      <c r="D181" s="16"/>
    </row>
    <row r="182" customFormat="false" ht="15.75" hidden="false" customHeight="false" outlineLevel="0" collapsed="false">
      <c r="C182" s="16"/>
      <c r="D182" s="16"/>
    </row>
    <row r="183" customFormat="false" ht="15.75" hidden="false" customHeight="false" outlineLevel="0" collapsed="false">
      <c r="C183" s="16"/>
      <c r="D183" s="16"/>
    </row>
    <row r="184" customFormat="false" ht="15.75" hidden="false" customHeight="false" outlineLevel="0" collapsed="false">
      <c r="C184" s="16"/>
      <c r="D184" s="16"/>
    </row>
    <row r="185" customFormat="false" ht="15.75" hidden="false" customHeight="false" outlineLevel="0" collapsed="false">
      <c r="C185" s="16"/>
      <c r="D185" s="16"/>
    </row>
    <row r="186" customFormat="false" ht="15.75" hidden="false" customHeight="false" outlineLevel="0" collapsed="false">
      <c r="C186" s="16"/>
      <c r="D186" s="16"/>
    </row>
    <row r="187" customFormat="false" ht="15.75" hidden="false" customHeight="false" outlineLevel="0" collapsed="false">
      <c r="C187" s="16"/>
      <c r="D187" s="16"/>
    </row>
    <row r="188" customFormat="false" ht="15.75" hidden="false" customHeight="false" outlineLevel="0" collapsed="false">
      <c r="C188" s="16"/>
      <c r="D188" s="16"/>
    </row>
    <row r="189" customFormat="false" ht="15.75" hidden="false" customHeight="false" outlineLevel="0" collapsed="false">
      <c r="C189" s="16"/>
      <c r="D189" s="16"/>
    </row>
    <row r="190" customFormat="false" ht="15.75" hidden="false" customHeight="false" outlineLevel="0" collapsed="false">
      <c r="C190" s="16"/>
      <c r="D190" s="16"/>
    </row>
    <row r="191" customFormat="false" ht="15.75" hidden="false" customHeight="false" outlineLevel="0" collapsed="false">
      <c r="C191" s="16"/>
      <c r="D191" s="16"/>
    </row>
    <row r="192" customFormat="false" ht="15.75" hidden="false" customHeight="false" outlineLevel="0" collapsed="false">
      <c r="C192" s="16"/>
      <c r="D192" s="16"/>
    </row>
    <row r="193" customFormat="false" ht="15.75" hidden="false" customHeight="false" outlineLevel="0" collapsed="false">
      <c r="C193" s="16"/>
      <c r="D193" s="16"/>
    </row>
    <row r="194" customFormat="false" ht="15.75" hidden="false" customHeight="false" outlineLevel="0" collapsed="false">
      <c r="C194" s="16"/>
      <c r="D194" s="16"/>
    </row>
    <row r="195" customFormat="false" ht="15.75" hidden="false" customHeight="false" outlineLevel="0" collapsed="false">
      <c r="C195" s="16"/>
      <c r="D195" s="16"/>
    </row>
    <row r="196" customFormat="false" ht="15.75" hidden="false" customHeight="false" outlineLevel="0" collapsed="false">
      <c r="C196" s="16"/>
      <c r="D196" s="16"/>
    </row>
    <row r="197" customFormat="false" ht="15.75" hidden="false" customHeight="false" outlineLevel="0" collapsed="false">
      <c r="C197" s="16"/>
      <c r="D197" s="16"/>
    </row>
    <row r="198" customFormat="false" ht="15.75" hidden="false" customHeight="false" outlineLevel="0" collapsed="false">
      <c r="C198" s="16"/>
      <c r="D198" s="16"/>
    </row>
    <row r="199" customFormat="false" ht="15.75" hidden="false" customHeight="false" outlineLevel="0" collapsed="false">
      <c r="C199" s="16"/>
      <c r="D199" s="16"/>
    </row>
    <row r="200" customFormat="false" ht="15.75" hidden="false" customHeight="false" outlineLevel="0" collapsed="false">
      <c r="C200" s="16"/>
      <c r="D200" s="16"/>
    </row>
    <row r="201" customFormat="false" ht="15.75" hidden="false" customHeight="false" outlineLevel="0" collapsed="false">
      <c r="C201" s="16"/>
      <c r="D201" s="16"/>
    </row>
    <row r="202" customFormat="false" ht="15.75" hidden="false" customHeight="false" outlineLevel="0" collapsed="false">
      <c r="C202" s="16"/>
      <c r="D202" s="16"/>
    </row>
    <row r="203" customFormat="false" ht="15.75" hidden="false" customHeight="false" outlineLevel="0" collapsed="false">
      <c r="C203" s="16"/>
      <c r="D203" s="16"/>
    </row>
    <row r="204" customFormat="false" ht="15.75" hidden="false" customHeight="false" outlineLevel="0" collapsed="false">
      <c r="C204" s="16"/>
      <c r="D204" s="16"/>
    </row>
    <row r="205" customFormat="false" ht="15.75" hidden="false" customHeight="false" outlineLevel="0" collapsed="false">
      <c r="C205" s="16"/>
      <c r="D205" s="16"/>
    </row>
    <row r="206" customFormat="false" ht="15.75" hidden="false" customHeight="false" outlineLevel="0" collapsed="false">
      <c r="C206" s="16"/>
      <c r="D206" s="16"/>
    </row>
    <row r="207" customFormat="false" ht="15.75" hidden="false" customHeight="false" outlineLevel="0" collapsed="false">
      <c r="C207" s="16"/>
      <c r="D207" s="16"/>
    </row>
    <row r="208" customFormat="false" ht="15.75" hidden="false" customHeight="false" outlineLevel="0" collapsed="false">
      <c r="C208" s="16"/>
      <c r="D208" s="16"/>
    </row>
    <row r="209" customFormat="false" ht="15.75" hidden="false" customHeight="false" outlineLevel="0" collapsed="false">
      <c r="C209" s="16"/>
      <c r="D209" s="16"/>
    </row>
    <row r="210" customFormat="false" ht="15.75" hidden="false" customHeight="false" outlineLevel="0" collapsed="false">
      <c r="C210" s="16"/>
      <c r="D210" s="16"/>
    </row>
    <row r="211" customFormat="false" ht="15.75" hidden="false" customHeight="false" outlineLevel="0" collapsed="false">
      <c r="C211" s="16"/>
      <c r="D211" s="16"/>
    </row>
    <row r="212" customFormat="false" ht="15.75" hidden="false" customHeight="false" outlineLevel="0" collapsed="false">
      <c r="C212" s="16"/>
      <c r="D212" s="16"/>
    </row>
    <row r="213" customFormat="false" ht="15.75" hidden="false" customHeight="false" outlineLevel="0" collapsed="false">
      <c r="C213" s="16"/>
      <c r="D213" s="16"/>
    </row>
    <row r="214" customFormat="false" ht="15.75" hidden="false" customHeight="false" outlineLevel="0" collapsed="false">
      <c r="C214" s="16"/>
      <c r="D214" s="16"/>
    </row>
    <row r="215" customFormat="false" ht="15.75" hidden="false" customHeight="false" outlineLevel="0" collapsed="false">
      <c r="C215" s="16"/>
      <c r="D215" s="16"/>
    </row>
    <row r="216" customFormat="false" ht="15.75" hidden="false" customHeight="false" outlineLevel="0" collapsed="false">
      <c r="C216" s="16"/>
      <c r="D216" s="16"/>
    </row>
    <row r="217" customFormat="false" ht="15.75" hidden="false" customHeight="false" outlineLevel="0" collapsed="false">
      <c r="C217" s="16"/>
      <c r="D217" s="16"/>
    </row>
    <row r="218" customFormat="false" ht="15.75" hidden="false" customHeight="false" outlineLevel="0" collapsed="false">
      <c r="C218" s="16"/>
      <c r="D218" s="16"/>
    </row>
    <row r="219" customFormat="false" ht="15.75" hidden="false" customHeight="false" outlineLevel="0" collapsed="false">
      <c r="C219" s="16"/>
      <c r="D219" s="16"/>
    </row>
    <row r="220" customFormat="false" ht="15.75" hidden="false" customHeight="false" outlineLevel="0" collapsed="false">
      <c r="C220" s="16"/>
      <c r="D220" s="16"/>
    </row>
    <row r="221" customFormat="false" ht="15.75" hidden="false" customHeight="false" outlineLevel="0" collapsed="false">
      <c r="C221" s="16"/>
      <c r="D221" s="16"/>
    </row>
    <row r="222" customFormat="false" ht="15.75" hidden="false" customHeight="false" outlineLevel="0" collapsed="false">
      <c r="C222" s="16"/>
      <c r="D222" s="16"/>
    </row>
    <row r="223" customFormat="false" ht="15.75" hidden="false" customHeight="false" outlineLevel="0" collapsed="false">
      <c r="C223" s="16"/>
      <c r="D223" s="16"/>
    </row>
    <row r="224" customFormat="false" ht="15.75" hidden="false" customHeight="false" outlineLevel="0" collapsed="false">
      <c r="C224" s="16"/>
      <c r="D224" s="16"/>
    </row>
    <row r="225" customFormat="false" ht="15.75" hidden="false" customHeight="false" outlineLevel="0" collapsed="false">
      <c r="C225" s="16"/>
      <c r="D225" s="16"/>
    </row>
    <row r="226" customFormat="false" ht="15.75" hidden="false" customHeight="false" outlineLevel="0" collapsed="false">
      <c r="C226" s="16"/>
      <c r="D226" s="16"/>
    </row>
    <row r="227" customFormat="false" ht="15.75" hidden="false" customHeight="false" outlineLevel="0" collapsed="false">
      <c r="C227" s="16"/>
      <c r="D227" s="16"/>
    </row>
    <row r="228" customFormat="false" ht="15.75" hidden="false" customHeight="false" outlineLevel="0" collapsed="false">
      <c r="C228" s="16"/>
      <c r="D228" s="16"/>
    </row>
    <row r="229" customFormat="false" ht="15.75" hidden="false" customHeight="false" outlineLevel="0" collapsed="false">
      <c r="C229" s="16"/>
      <c r="D229" s="16"/>
    </row>
    <row r="230" customFormat="false" ht="15.75" hidden="false" customHeight="false" outlineLevel="0" collapsed="false">
      <c r="C230" s="16"/>
      <c r="D230" s="16"/>
    </row>
    <row r="231" customFormat="false" ht="15.75" hidden="false" customHeight="false" outlineLevel="0" collapsed="false">
      <c r="C231" s="16"/>
      <c r="D231" s="16"/>
    </row>
    <row r="232" customFormat="false" ht="15.75" hidden="false" customHeight="false" outlineLevel="0" collapsed="false">
      <c r="C232" s="16"/>
      <c r="D232" s="16"/>
    </row>
    <row r="233" customFormat="false" ht="15.75" hidden="false" customHeight="false" outlineLevel="0" collapsed="false">
      <c r="C233" s="16"/>
      <c r="D233" s="16"/>
    </row>
    <row r="234" customFormat="false" ht="15.75" hidden="false" customHeight="false" outlineLevel="0" collapsed="false">
      <c r="C234" s="16"/>
      <c r="D234" s="16"/>
    </row>
    <row r="235" customFormat="false" ht="15.75" hidden="false" customHeight="false" outlineLevel="0" collapsed="false">
      <c r="C235" s="16"/>
      <c r="D235" s="16"/>
    </row>
    <row r="236" customFormat="false" ht="15.75" hidden="false" customHeight="false" outlineLevel="0" collapsed="false">
      <c r="C236" s="16"/>
      <c r="D236" s="16"/>
    </row>
    <row r="237" customFormat="false" ht="15.75" hidden="false" customHeight="false" outlineLevel="0" collapsed="false">
      <c r="C237" s="16"/>
      <c r="D237" s="16"/>
    </row>
    <row r="238" customFormat="false" ht="15.75" hidden="false" customHeight="false" outlineLevel="0" collapsed="false">
      <c r="C238" s="16"/>
      <c r="D238" s="16"/>
    </row>
    <row r="239" customFormat="false" ht="15.75" hidden="false" customHeight="false" outlineLevel="0" collapsed="false">
      <c r="C239" s="16"/>
      <c r="D239" s="16"/>
    </row>
    <row r="240" customFormat="false" ht="15.75" hidden="false" customHeight="false" outlineLevel="0" collapsed="false">
      <c r="C240" s="16"/>
      <c r="D240" s="16"/>
    </row>
    <row r="241" customFormat="false" ht="15.75" hidden="false" customHeight="false" outlineLevel="0" collapsed="false">
      <c r="C241" s="16"/>
      <c r="D241" s="16"/>
    </row>
    <row r="242" customFormat="false" ht="15.75" hidden="false" customHeight="false" outlineLevel="0" collapsed="false">
      <c r="C242" s="16"/>
      <c r="D242" s="16"/>
    </row>
    <row r="243" customFormat="false" ht="15.75" hidden="false" customHeight="false" outlineLevel="0" collapsed="false">
      <c r="C243" s="16"/>
      <c r="D243" s="16"/>
    </row>
    <row r="244" customFormat="false" ht="15.75" hidden="false" customHeight="false" outlineLevel="0" collapsed="false">
      <c r="C244" s="16"/>
      <c r="D244" s="16"/>
    </row>
    <row r="245" customFormat="false" ht="15.75" hidden="false" customHeight="false" outlineLevel="0" collapsed="false">
      <c r="C245" s="16"/>
      <c r="D245" s="16"/>
    </row>
    <row r="246" customFormat="false" ht="15.75" hidden="false" customHeight="false" outlineLevel="0" collapsed="false">
      <c r="C246" s="16"/>
      <c r="D246" s="16"/>
    </row>
    <row r="247" customFormat="false" ht="15.75" hidden="false" customHeight="false" outlineLevel="0" collapsed="false">
      <c r="C247" s="16"/>
      <c r="D247" s="16"/>
    </row>
    <row r="248" customFormat="false" ht="15.75" hidden="false" customHeight="false" outlineLevel="0" collapsed="false">
      <c r="C248" s="16"/>
      <c r="D248" s="16"/>
    </row>
    <row r="249" customFormat="false" ht="15.75" hidden="false" customHeight="false" outlineLevel="0" collapsed="false">
      <c r="C249" s="16"/>
      <c r="D249" s="16"/>
    </row>
    <row r="250" customFormat="false" ht="15.75" hidden="false" customHeight="false" outlineLevel="0" collapsed="false">
      <c r="C250" s="16"/>
      <c r="D250" s="16"/>
    </row>
    <row r="251" customFormat="false" ht="15.75" hidden="false" customHeight="false" outlineLevel="0" collapsed="false">
      <c r="C251" s="16"/>
      <c r="D251" s="16"/>
    </row>
    <row r="252" customFormat="false" ht="15.75" hidden="false" customHeight="false" outlineLevel="0" collapsed="false">
      <c r="C252" s="16"/>
      <c r="D252" s="16"/>
    </row>
    <row r="253" customFormat="false" ht="15.75" hidden="false" customHeight="false" outlineLevel="0" collapsed="false">
      <c r="C253" s="16"/>
      <c r="D253" s="16"/>
    </row>
    <row r="254" customFormat="false" ht="15.75" hidden="false" customHeight="false" outlineLevel="0" collapsed="false">
      <c r="C254" s="16"/>
      <c r="D254" s="16"/>
    </row>
    <row r="255" customFormat="false" ht="15.75" hidden="false" customHeight="false" outlineLevel="0" collapsed="false">
      <c r="C255" s="16"/>
      <c r="D255" s="16"/>
    </row>
    <row r="256" customFormat="false" ht="15.75" hidden="false" customHeight="false" outlineLevel="0" collapsed="false">
      <c r="C256" s="16"/>
      <c r="D256" s="16"/>
    </row>
    <row r="257" customFormat="false" ht="15.75" hidden="false" customHeight="false" outlineLevel="0" collapsed="false">
      <c r="C257" s="16"/>
      <c r="D257" s="16"/>
    </row>
    <row r="258" customFormat="false" ht="15.75" hidden="false" customHeight="false" outlineLevel="0" collapsed="false">
      <c r="C258" s="16"/>
      <c r="D258" s="16"/>
    </row>
    <row r="259" customFormat="false" ht="15.75" hidden="false" customHeight="false" outlineLevel="0" collapsed="false">
      <c r="C259" s="16"/>
      <c r="D259" s="16"/>
    </row>
    <row r="260" customFormat="false" ht="15.75" hidden="false" customHeight="false" outlineLevel="0" collapsed="false">
      <c r="C260" s="16"/>
      <c r="D260" s="16"/>
    </row>
    <row r="261" customFormat="false" ht="15.75" hidden="false" customHeight="false" outlineLevel="0" collapsed="false">
      <c r="C261" s="16"/>
      <c r="D261" s="16"/>
    </row>
    <row r="262" customFormat="false" ht="15.75" hidden="false" customHeight="false" outlineLevel="0" collapsed="false">
      <c r="C262" s="16"/>
      <c r="D262" s="16"/>
    </row>
    <row r="263" customFormat="false" ht="15.75" hidden="false" customHeight="false" outlineLevel="0" collapsed="false">
      <c r="C263" s="16"/>
      <c r="D263" s="16"/>
    </row>
    <row r="264" customFormat="false" ht="15.75" hidden="false" customHeight="false" outlineLevel="0" collapsed="false">
      <c r="C264" s="16"/>
      <c r="D264" s="16"/>
    </row>
    <row r="265" customFormat="false" ht="15.75" hidden="false" customHeight="false" outlineLevel="0" collapsed="false">
      <c r="C265" s="16"/>
      <c r="D265" s="16"/>
    </row>
    <row r="266" customFormat="false" ht="15.75" hidden="false" customHeight="false" outlineLevel="0" collapsed="false">
      <c r="C266" s="16"/>
      <c r="D266" s="16"/>
    </row>
    <row r="267" customFormat="false" ht="15.75" hidden="false" customHeight="false" outlineLevel="0" collapsed="false">
      <c r="C267" s="16"/>
      <c r="D267" s="16"/>
    </row>
    <row r="268" customFormat="false" ht="15.75" hidden="false" customHeight="false" outlineLevel="0" collapsed="false">
      <c r="C268" s="16"/>
      <c r="D268" s="16"/>
    </row>
    <row r="269" customFormat="false" ht="15.75" hidden="false" customHeight="false" outlineLevel="0" collapsed="false">
      <c r="C269" s="16"/>
      <c r="D269" s="16"/>
    </row>
    <row r="270" customFormat="false" ht="15.75" hidden="false" customHeight="false" outlineLevel="0" collapsed="false">
      <c r="C270" s="16"/>
      <c r="D270" s="16"/>
    </row>
    <row r="271" customFormat="false" ht="15.75" hidden="false" customHeight="false" outlineLevel="0" collapsed="false">
      <c r="C271" s="16"/>
      <c r="D271" s="16"/>
    </row>
    <row r="272" customFormat="false" ht="15.75" hidden="false" customHeight="false" outlineLevel="0" collapsed="false">
      <c r="C272" s="16"/>
      <c r="D272" s="16"/>
    </row>
    <row r="273" customFormat="false" ht="15.75" hidden="false" customHeight="false" outlineLevel="0" collapsed="false">
      <c r="C273" s="16"/>
      <c r="D273" s="16"/>
    </row>
    <row r="274" customFormat="false" ht="15.75" hidden="false" customHeight="false" outlineLevel="0" collapsed="false">
      <c r="C274" s="16"/>
      <c r="D274" s="16"/>
    </row>
    <row r="275" customFormat="false" ht="15.75" hidden="false" customHeight="false" outlineLevel="0" collapsed="false">
      <c r="C275" s="16"/>
      <c r="D275" s="16"/>
    </row>
    <row r="276" customFormat="false" ht="15.75" hidden="false" customHeight="false" outlineLevel="0" collapsed="false">
      <c r="C276" s="16"/>
      <c r="D276" s="16"/>
    </row>
    <row r="277" customFormat="false" ht="15.75" hidden="false" customHeight="false" outlineLevel="0" collapsed="false">
      <c r="C277" s="16"/>
      <c r="D277" s="16"/>
    </row>
    <row r="278" customFormat="false" ht="15.75" hidden="false" customHeight="false" outlineLevel="0" collapsed="false">
      <c r="C278" s="16"/>
      <c r="D278" s="16"/>
    </row>
    <row r="279" customFormat="false" ht="15.75" hidden="false" customHeight="false" outlineLevel="0" collapsed="false">
      <c r="C279" s="16"/>
      <c r="D279" s="16"/>
    </row>
    <row r="280" customFormat="false" ht="15.75" hidden="false" customHeight="false" outlineLevel="0" collapsed="false">
      <c r="C280" s="16"/>
      <c r="D280" s="16"/>
    </row>
    <row r="281" customFormat="false" ht="15.75" hidden="false" customHeight="false" outlineLevel="0" collapsed="false">
      <c r="C281" s="16"/>
      <c r="D281" s="16"/>
    </row>
    <row r="282" customFormat="false" ht="15.75" hidden="false" customHeight="false" outlineLevel="0" collapsed="false">
      <c r="C282" s="16"/>
      <c r="D282" s="16"/>
    </row>
    <row r="283" customFormat="false" ht="15.75" hidden="false" customHeight="false" outlineLevel="0" collapsed="false">
      <c r="C283" s="16"/>
      <c r="D283" s="16"/>
    </row>
    <row r="284" customFormat="false" ht="15.75" hidden="false" customHeight="false" outlineLevel="0" collapsed="false">
      <c r="C284" s="16"/>
      <c r="D284" s="16"/>
    </row>
    <row r="285" customFormat="false" ht="15.75" hidden="false" customHeight="false" outlineLevel="0" collapsed="false">
      <c r="C285" s="16"/>
      <c r="D285" s="16"/>
    </row>
    <row r="286" customFormat="false" ht="15.75" hidden="false" customHeight="false" outlineLevel="0" collapsed="false">
      <c r="C286" s="16"/>
      <c r="D286" s="16"/>
    </row>
    <row r="287" customFormat="false" ht="15.75" hidden="false" customHeight="false" outlineLevel="0" collapsed="false">
      <c r="C287" s="16"/>
      <c r="D287" s="16"/>
    </row>
    <row r="288" customFormat="false" ht="15.75" hidden="false" customHeight="false" outlineLevel="0" collapsed="false">
      <c r="C288" s="16"/>
      <c r="D288" s="16"/>
    </row>
    <row r="289" customFormat="false" ht="15.75" hidden="false" customHeight="false" outlineLevel="0" collapsed="false">
      <c r="C289" s="16"/>
      <c r="D289" s="16"/>
    </row>
    <row r="290" customFormat="false" ht="15.75" hidden="false" customHeight="false" outlineLevel="0" collapsed="false">
      <c r="C290" s="16"/>
      <c r="D290" s="16"/>
    </row>
    <row r="291" customFormat="false" ht="15.75" hidden="false" customHeight="false" outlineLevel="0" collapsed="false">
      <c r="C291" s="16"/>
      <c r="D291" s="16"/>
    </row>
    <row r="292" customFormat="false" ht="15.75" hidden="false" customHeight="false" outlineLevel="0" collapsed="false">
      <c r="C292" s="16"/>
      <c r="D292" s="16"/>
    </row>
    <row r="293" customFormat="false" ht="15.75" hidden="false" customHeight="false" outlineLevel="0" collapsed="false">
      <c r="C293" s="16"/>
      <c r="D293" s="16"/>
    </row>
    <row r="294" customFormat="false" ht="15.75" hidden="false" customHeight="false" outlineLevel="0" collapsed="false">
      <c r="C294" s="16"/>
      <c r="D294" s="16"/>
    </row>
    <row r="295" customFormat="false" ht="15.75" hidden="false" customHeight="false" outlineLevel="0" collapsed="false">
      <c r="C295" s="16"/>
      <c r="D295" s="16"/>
    </row>
    <row r="296" customFormat="false" ht="15.75" hidden="false" customHeight="false" outlineLevel="0" collapsed="false">
      <c r="C296" s="16"/>
      <c r="D296" s="16"/>
    </row>
    <row r="297" customFormat="false" ht="15.75" hidden="false" customHeight="false" outlineLevel="0" collapsed="false">
      <c r="C297" s="16"/>
      <c r="D297" s="16"/>
    </row>
    <row r="298" customFormat="false" ht="15.75" hidden="false" customHeight="false" outlineLevel="0" collapsed="false">
      <c r="C298" s="16"/>
      <c r="D298" s="16"/>
    </row>
    <row r="299" customFormat="false" ht="15.75" hidden="false" customHeight="false" outlineLevel="0" collapsed="false">
      <c r="C299" s="16"/>
      <c r="D299" s="16"/>
    </row>
    <row r="300" customFormat="false" ht="15.75" hidden="false" customHeight="false" outlineLevel="0" collapsed="false">
      <c r="C300" s="16"/>
      <c r="D300" s="16"/>
    </row>
    <row r="301" customFormat="false" ht="15.75" hidden="false" customHeight="false" outlineLevel="0" collapsed="false">
      <c r="C301" s="16"/>
      <c r="D301" s="16"/>
    </row>
    <row r="302" customFormat="false" ht="15.75" hidden="false" customHeight="false" outlineLevel="0" collapsed="false">
      <c r="C302" s="16"/>
      <c r="D302" s="16"/>
    </row>
    <row r="303" customFormat="false" ht="15.75" hidden="false" customHeight="false" outlineLevel="0" collapsed="false">
      <c r="C303" s="16"/>
      <c r="D303" s="16"/>
    </row>
    <row r="304" customFormat="false" ht="15.75" hidden="false" customHeight="false" outlineLevel="0" collapsed="false">
      <c r="C304" s="16"/>
      <c r="D304" s="16"/>
    </row>
    <row r="305" customFormat="false" ht="15.75" hidden="false" customHeight="false" outlineLevel="0" collapsed="false">
      <c r="C305" s="16"/>
      <c r="D305" s="16"/>
    </row>
    <row r="306" customFormat="false" ht="15.75" hidden="false" customHeight="false" outlineLevel="0" collapsed="false">
      <c r="C306" s="16"/>
      <c r="D306" s="16"/>
    </row>
    <row r="307" customFormat="false" ht="15.75" hidden="false" customHeight="false" outlineLevel="0" collapsed="false">
      <c r="C307" s="16"/>
      <c r="D307" s="16"/>
    </row>
    <row r="308" customFormat="false" ht="15.75" hidden="false" customHeight="false" outlineLevel="0" collapsed="false">
      <c r="C308" s="16"/>
      <c r="D308" s="16"/>
    </row>
    <row r="309" customFormat="false" ht="15.75" hidden="false" customHeight="false" outlineLevel="0" collapsed="false">
      <c r="C309" s="16"/>
      <c r="D309" s="16"/>
    </row>
    <row r="310" customFormat="false" ht="15.75" hidden="false" customHeight="false" outlineLevel="0" collapsed="false">
      <c r="C310" s="16"/>
      <c r="D310" s="16"/>
    </row>
    <row r="311" customFormat="false" ht="15.75" hidden="false" customHeight="false" outlineLevel="0" collapsed="false">
      <c r="C311" s="16"/>
      <c r="D311" s="16"/>
    </row>
    <row r="312" customFormat="false" ht="15.75" hidden="false" customHeight="false" outlineLevel="0" collapsed="false">
      <c r="C312" s="16"/>
      <c r="D312" s="16"/>
    </row>
    <row r="313" customFormat="false" ht="15.75" hidden="false" customHeight="false" outlineLevel="0" collapsed="false">
      <c r="C313" s="16"/>
      <c r="D313" s="16"/>
    </row>
    <row r="314" customFormat="false" ht="15.75" hidden="false" customHeight="false" outlineLevel="0" collapsed="false">
      <c r="C314" s="16"/>
      <c r="D314" s="16"/>
    </row>
    <row r="315" customFormat="false" ht="15.75" hidden="false" customHeight="false" outlineLevel="0" collapsed="false">
      <c r="C315" s="16"/>
      <c r="D315" s="16"/>
    </row>
    <row r="316" customFormat="false" ht="15.75" hidden="false" customHeight="false" outlineLevel="0" collapsed="false">
      <c r="C316" s="16"/>
      <c r="D316" s="16"/>
    </row>
    <row r="317" customFormat="false" ht="15.75" hidden="false" customHeight="false" outlineLevel="0" collapsed="false">
      <c r="C317" s="16"/>
      <c r="D317" s="16"/>
    </row>
    <row r="318" customFormat="false" ht="15.75" hidden="false" customHeight="false" outlineLevel="0" collapsed="false">
      <c r="C318" s="16"/>
      <c r="D318" s="16"/>
    </row>
    <row r="319" customFormat="false" ht="15.75" hidden="false" customHeight="false" outlineLevel="0" collapsed="false">
      <c r="C319" s="16"/>
      <c r="D319" s="16"/>
    </row>
    <row r="320" customFormat="false" ht="15.75" hidden="false" customHeight="false" outlineLevel="0" collapsed="false">
      <c r="C320" s="16"/>
      <c r="D320" s="16"/>
    </row>
    <row r="321" customFormat="false" ht="15.75" hidden="false" customHeight="false" outlineLevel="0" collapsed="false">
      <c r="C321" s="16"/>
      <c r="D321" s="16"/>
    </row>
    <row r="322" customFormat="false" ht="15.75" hidden="false" customHeight="false" outlineLevel="0" collapsed="false">
      <c r="C322" s="16"/>
      <c r="D322" s="16"/>
    </row>
    <row r="323" customFormat="false" ht="15.75" hidden="false" customHeight="false" outlineLevel="0" collapsed="false">
      <c r="C323" s="16"/>
      <c r="D323" s="16"/>
    </row>
    <row r="324" customFormat="false" ht="15.75" hidden="false" customHeight="false" outlineLevel="0" collapsed="false">
      <c r="C324" s="16"/>
      <c r="D324" s="16"/>
    </row>
    <row r="325" customFormat="false" ht="15.75" hidden="false" customHeight="false" outlineLevel="0" collapsed="false">
      <c r="C325" s="16"/>
      <c r="D325" s="16"/>
    </row>
    <row r="326" customFormat="false" ht="15.75" hidden="false" customHeight="false" outlineLevel="0" collapsed="false">
      <c r="C326" s="16"/>
      <c r="D326" s="16"/>
    </row>
    <row r="327" customFormat="false" ht="15.75" hidden="false" customHeight="false" outlineLevel="0" collapsed="false">
      <c r="C327" s="16"/>
      <c r="D327" s="16"/>
    </row>
    <row r="328" customFormat="false" ht="15.75" hidden="false" customHeight="false" outlineLevel="0" collapsed="false">
      <c r="C328" s="16"/>
      <c r="D328" s="16"/>
    </row>
    <row r="329" customFormat="false" ht="15.75" hidden="false" customHeight="false" outlineLevel="0" collapsed="false">
      <c r="C329" s="16"/>
      <c r="D329" s="16"/>
    </row>
    <row r="330" customFormat="false" ht="15.75" hidden="false" customHeight="false" outlineLevel="0" collapsed="false">
      <c r="C330" s="16"/>
      <c r="D330" s="16"/>
    </row>
    <row r="331" customFormat="false" ht="15.75" hidden="false" customHeight="false" outlineLevel="0" collapsed="false">
      <c r="C331" s="16"/>
      <c r="D331" s="16"/>
    </row>
    <row r="332" customFormat="false" ht="15.75" hidden="false" customHeight="false" outlineLevel="0" collapsed="false">
      <c r="C332" s="16"/>
      <c r="D332" s="16"/>
    </row>
    <row r="333" customFormat="false" ht="15.75" hidden="false" customHeight="false" outlineLevel="0" collapsed="false">
      <c r="C333" s="16"/>
      <c r="D333" s="16"/>
    </row>
    <row r="334" customFormat="false" ht="15.75" hidden="false" customHeight="false" outlineLevel="0" collapsed="false">
      <c r="C334" s="16"/>
      <c r="D334" s="16"/>
    </row>
    <row r="335" customFormat="false" ht="15.75" hidden="false" customHeight="false" outlineLevel="0" collapsed="false">
      <c r="C335" s="16"/>
      <c r="D335" s="16"/>
    </row>
    <row r="336" customFormat="false" ht="15.75" hidden="false" customHeight="false" outlineLevel="0" collapsed="false">
      <c r="C336" s="16"/>
      <c r="D336" s="16"/>
    </row>
    <row r="337" customFormat="false" ht="15.75" hidden="false" customHeight="false" outlineLevel="0" collapsed="false">
      <c r="C337" s="16"/>
      <c r="D337" s="16"/>
    </row>
    <row r="338" customFormat="false" ht="15.75" hidden="false" customHeight="false" outlineLevel="0" collapsed="false">
      <c r="C338" s="16"/>
      <c r="D338" s="16"/>
    </row>
    <row r="339" customFormat="false" ht="15.75" hidden="false" customHeight="false" outlineLevel="0" collapsed="false">
      <c r="C339" s="16"/>
      <c r="D339" s="16"/>
    </row>
    <row r="340" customFormat="false" ht="15.75" hidden="false" customHeight="false" outlineLevel="0" collapsed="false">
      <c r="C340" s="16"/>
      <c r="D340" s="16"/>
    </row>
    <row r="341" customFormat="false" ht="15.75" hidden="false" customHeight="false" outlineLevel="0" collapsed="false">
      <c r="C341" s="16"/>
      <c r="D341" s="16"/>
    </row>
    <row r="342" customFormat="false" ht="15.75" hidden="false" customHeight="false" outlineLevel="0" collapsed="false">
      <c r="C342" s="16"/>
      <c r="D342" s="16"/>
    </row>
    <row r="343" customFormat="false" ht="15.75" hidden="false" customHeight="false" outlineLevel="0" collapsed="false">
      <c r="C343" s="16"/>
      <c r="D343" s="16"/>
    </row>
    <row r="344" customFormat="false" ht="15.75" hidden="false" customHeight="false" outlineLevel="0" collapsed="false">
      <c r="C344" s="16"/>
      <c r="D344" s="16"/>
    </row>
    <row r="345" customFormat="false" ht="15.75" hidden="false" customHeight="false" outlineLevel="0" collapsed="false">
      <c r="C345" s="16"/>
      <c r="D345" s="16"/>
    </row>
    <row r="346" customFormat="false" ht="15.75" hidden="false" customHeight="false" outlineLevel="0" collapsed="false">
      <c r="C346" s="16"/>
      <c r="D346" s="16"/>
    </row>
    <row r="347" customFormat="false" ht="15.75" hidden="false" customHeight="false" outlineLevel="0" collapsed="false">
      <c r="C347" s="16"/>
      <c r="D347" s="16"/>
    </row>
    <row r="348" customFormat="false" ht="15.75" hidden="false" customHeight="false" outlineLevel="0" collapsed="false">
      <c r="C348" s="16"/>
      <c r="D348" s="16"/>
    </row>
    <row r="349" customFormat="false" ht="15.75" hidden="false" customHeight="false" outlineLevel="0" collapsed="false">
      <c r="C349" s="16"/>
      <c r="D349" s="16"/>
    </row>
    <row r="350" customFormat="false" ht="15.75" hidden="false" customHeight="false" outlineLevel="0" collapsed="false">
      <c r="C350" s="16"/>
      <c r="D350" s="16"/>
    </row>
    <row r="351" customFormat="false" ht="15.75" hidden="false" customHeight="false" outlineLevel="0" collapsed="false">
      <c r="C351" s="16"/>
      <c r="D351" s="16"/>
    </row>
    <row r="352" customFormat="false" ht="15.75" hidden="false" customHeight="false" outlineLevel="0" collapsed="false">
      <c r="C352" s="16"/>
      <c r="D352" s="16"/>
    </row>
    <row r="353" customFormat="false" ht="15.75" hidden="false" customHeight="false" outlineLevel="0" collapsed="false">
      <c r="C353" s="16"/>
      <c r="D353" s="16"/>
    </row>
    <row r="354" customFormat="false" ht="15.75" hidden="false" customHeight="false" outlineLevel="0" collapsed="false">
      <c r="C354" s="16"/>
      <c r="D354" s="16"/>
    </row>
    <row r="355" customFormat="false" ht="15.75" hidden="false" customHeight="false" outlineLevel="0" collapsed="false">
      <c r="C355" s="16"/>
      <c r="D355" s="16"/>
    </row>
    <row r="356" customFormat="false" ht="15.75" hidden="false" customHeight="false" outlineLevel="0" collapsed="false">
      <c r="C356" s="16"/>
      <c r="D356" s="16"/>
    </row>
    <row r="357" customFormat="false" ht="15.75" hidden="false" customHeight="false" outlineLevel="0" collapsed="false">
      <c r="C357" s="16"/>
      <c r="D357" s="16"/>
    </row>
    <row r="358" customFormat="false" ht="15.75" hidden="false" customHeight="false" outlineLevel="0" collapsed="false">
      <c r="C358" s="16"/>
      <c r="D358" s="16"/>
    </row>
    <row r="359" customFormat="false" ht="15.75" hidden="false" customHeight="false" outlineLevel="0" collapsed="false">
      <c r="C359" s="16"/>
      <c r="D359" s="16"/>
    </row>
    <row r="360" customFormat="false" ht="15.75" hidden="false" customHeight="false" outlineLevel="0" collapsed="false">
      <c r="C360" s="16"/>
      <c r="D360" s="16"/>
    </row>
    <row r="361" customFormat="false" ht="15.75" hidden="false" customHeight="false" outlineLevel="0" collapsed="false">
      <c r="C361" s="16"/>
      <c r="D361" s="16"/>
    </row>
    <row r="362" customFormat="false" ht="15.75" hidden="false" customHeight="false" outlineLevel="0" collapsed="false">
      <c r="C362" s="16"/>
      <c r="D362" s="16"/>
    </row>
    <row r="363" customFormat="false" ht="15.75" hidden="false" customHeight="false" outlineLevel="0" collapsed="false">
      <c r="C363" s="16"/>
      <c r="D363" s="16"/>
    </row>
    <row r="364" customFormat="false" ht="15.75" hidden="false" customHeight="false" outlineLevel="0" collapsed="false">
      <c r="C364" s="16"/>
      <c r="D364" s="16"/>
    </row>
    <row r="365" customFormat="false" ht="15.75" hidden="false" customHeight="false" outlineLevel="0" collapsed="false">
      <c r="C365" s="16"/>
      <c r="D365" s="16"/>
    </row>
    <row r="366" customFormat="false" ht="15.75" hidden="false" customHeight="false" outlineLevel="0" collapsed="false">
      <c r="C366" s="16"/>
      <c r="D366" s="16"/>
    </row>
    <row r="367" customFormat="false" ht="15.75" hidden="false" customHeight="false" outlineLevel="0" collapsed="false">
      <c r="C367" s="16"/>
      <c r="D367" s="16"/>
    </row>
    <row r="368" customFormat="false" ht="15.75" hidden="false" customHeight="false" outlineLevel="0" collapsed="false">
      <c r="C368" s="16"/>
      <c r="D368" s="16"/>
    </row>
    <row r="369" customFormat="false" ht="15.75" hidden="false" customHeight="false" outlineLevel="0" collapsed="false">
      <c r="C369" s="16"/>
      <c r="D369" s="16"/>
    </row>
    <row r="370" customFormat="false" ht="15.75" hidden="false" customHeight="false" outlineLevel="0" collapsed="false">
      <c r="C370" s="16"/>
      <c r="D370" s="16"/>
    </row>
    <row r="371" customFormat="false" ht="15.75" hidden="false" customHeight="false" outlineLevel="0" collapsed="false">
      <c r="C371" s="16"/>
      <c r="D371" s="16"/>
    </row>
    <row r="372" customFormat="false" ht="15.75" hidden="false" customHeight="false" outlineLevel="0" collapsed="false">
      <c r="C372" s="16"/>
      <c r="D372" s="16"/>
    </row>
    <row r="373" customFormat="false" ht="15.75" hidden="false" customHeight="false" outlineLevel="0" collapsed="false">
      <c r="C373" s="16"/>
      <c r="D373" s="16"/>
    </row>
    <row r="374" customFormat="false" ht="15.75" hidden="false" customHeight="false" outlineLevel="0" collapsed="false">
      <c r="C374" s="16"/>
      <c r="D374" s="16"/>
    </row>
    <row r="375" customFormat="false" ht="15.75" hidden="false" customHeight="false" outlineLevel="0" collapsed="false">
      <c r="C375" s="16"/>
      <c r="D375" s="16"/>
    </row>
    <row r="376" customFormat="false" ht="15.75" hidden="false" customHeight="false" outlineLevel="0" collapsed="false">
      <c r="C376" s="16"/>
      <c r="D376" s="16"/>
    </row>
    <row r="377" customFormat="false" ht="15.75" hidden="false" customHeight="false" outlineLevel="0" collapsed="false">
      <c r="C377" s="16"/>
      <c r="D377" s="16"/>
    </row>
    <row r="378" customFormat="false" ht="15.75" hidden="false" customHeight="false" outlineLevel="0" collapsed="false">
      <c r="C378" s="16"/>
      <c r="D378" s="16"/>
    </row>
    <row r="379" customFormat="false" ht="15.75" hidden="false" customHeight="false" outlineLevel="0" collapsed="false">
      <c r="C379" s="16"/>
      <c r="D379" s="16"/>
    </row>
    <row r="380" customFormat="false" ht="15.75" hidden="false" customHeight="false" outlineLevel="0" collapsed="false">
      <c r="C380" s="16"/>
      <c r="D380" s="16"/>
    </row>
    <row r="381" customFormat="false" ht="15.75" hidden="false" customHeight="false" outlineLevel="0" collapsed="false">
      <c r="C381" s="16"/>
      <c r="D381" s="16"/>
    </row>
    <row r="382" customFormat="false" ht="15.75" hidden="false" customHeight="false" outlineLevel="0" collapsed="false">
      <c r="C382" s="16"/>
      <c r="D382" s="16"/>
    </row>
    <row r="383" customFormat="false" ht="15.75" hidden="false" customHeight="false" outlineLevel="0" collapsed="false">
      <c r="C383" s="16"/>
      <c r="D383" s="16"/>
    </row>
    <row r="384" customFormat="false" ht="15.75" hidden="false" customHeight="false" outlineLevel="0" collapsed="false">
      <c r="C384" s="16"/>
      <c r="D384" s="16"/>
    </row>
    <row r="385" customFormat="false" ht="15.75" hidden="false" customHeight="false" outlineLevel="0" collapsed="false">
      <c r="C385" s="16"/>
      <c r="D385" s="16"/>
    </row>
    <row r="386" customFormat="false" ht="15.75" hidden="false" customHeight="false" outlineLevel="0" collapsed="false">
      <c r="C386" s="16"/>
      <c r="D386" s="16"/>
    </row>
    <row r="387" customFormat="false" ht="15.75" hidden="false" customHeight="false" outlineLevel="0" collapsed="false">
      <c r="C387" s="16"/>
      <c r="D387" s="16"/>
    </row>
    <row r="388" customFormat="false" ht="15.75" hidden="false" customHeight="false" outlineLevel="0" collapsed="false">
      <c r="C388" s="16"/>
      <c r="D388" s="16"/>
    </row>
    <row r="389" customFormat="false" ht="15.75" hidden="false" customHeight="false" outlineLevel="0" collapsed="false">
      <c r="C389" s="16"/>
      <c r="D389" s="16"/>
    </row>
    <row r="390" customFormat="false" ht="15.75" hidden="false" customHeight="false" outlineLevel="0" collapsed="false">
      <c r="C390" s="16"/>
      <c r="D390" s="16"/>
    </row>
    <row r="391" customFormat="false" ht="15.75" hidden="false" customHeight="false" outlineLevel="0" collapsed="false">
      <c r="C391" s="16"/>
      <c r="D391" s="16"/>
    </row>
    <row r="392" customFormat="false" ht="15.75" hidden="false" customHeight="false" outlineLevel="0" collapsed="false">
      <c r="C392" s="16"/>
      <c r="D392" s="16"/>
    </row>
    <row r="393" customFormat="false" ht="15.75" hidden="false" customHeight="false" outlineLevel="0" collapsed="false">
      <c r="C393" s="16"/>
      <c r="D393" s="16"/>
    </row>
    <row r="394" customFormat="false" ht="15.75" hidden="false" customHeight="false" outlineLevel="0" collapsed="false">
      <c r="C394" s="16"/>
      <c r="D394" s="16"/>
    </row>
    <row r="395" customFormat="false" ht="15.75" hidden="false" customHeight="false" outlineLevel="0" collapsed="false">
      <c r="C395" s="16"/>
      <c r="D395" s="16"/>
    </row>
    <row r="396" customFormat="false" ht="15.75" hidden="false" customHeight="false" outlineLevel="0" collapsed="false">
      <c r="C396" s="16"/>
      <c r="D396" s="16"/>
    </row>
    <row r="397" customFormat="false" ht="15.75" hidden="false" customHeight="false" outlineLevel="0" collapsed="false">
      <c r="C397" s="16"/>
      <c r="D397" s="16"/>
    </row>
    <row r="398" customFormat="false" ht="15.75" hidden="false" customHeight="false" outlineLevel="0" collapsed="false">
      <c r="C398" s="16"/>
      <c r="D398" s="16"/>
    </row>
    <row r="399" customFormat="false" ht="15.75" hidden="false" customHeight="false" outlineLevel="0" collapsed="false">
      <c r="C399" s="16"/>
      <c r="D399" s="16"/>
    </row>
    <row r="400" customFormat="false" ht="15.75" hidden="false" customHeight="false" outlineLevel="0" collapsed="false">
      <c r="C400" s="16"/>
      <c r="D400" s="16"/>
    </row>
    <row r="401" customFormat="false" ht="15.75" hidden="false" customHeight="false" outlineLevel="0" collapsed="false">
      <c r="C401" s="16"/>
      <c r="D401" s="16"/>
    </row>
    <row r="402" customFormat="false" ht="15.75" hidden="false" customHeight="false" outlineLevel="0" collapsed="false">
      <c r="C402" s="16"/>
      <c r="D402" s="16"/>
    </row>
    <row r="403" customFormat="false" ht="15.75" hidden="false" customHeight="false" outlineLevel="0" collapsed="false">
      <c r="C403" s="16"/>
      <c r="D403" s="16"/>
    </row>
    <row r="404" customFormat="false" ht="15.75" hidden="false" customHeight="false" outlineLevel="0" collapsed="false">
      <c r="C404" s="16"/>
      <c r="D404" s="16"/>
    </row>
    <row r="405" customFormat="false" ht="15.75" hidden="false" customHeight="false" outlineLevel="0" collapsed="false">
      <c r="C405" s="16"/>
      <c r="D405" s="16"/>
    </row>
    <row r="406" customFormat="false" ht="15.75" hidden="false" customHeight="false" outlineLevel="0" collapsed="false">
      <c r="C406" s="16"/>
      <c r="D406" s="16"/>
    </row>
    <row r="407" customFormat="false" ht="15.75" hidden="false" customHeight="false" outlineLevel="0" collapsed="false">
      <c r="C407" s="16"/>
      <c r="D407" s="16"/>
    </row>
    <row r="408" customFormat="false" ht="15.75" hidden="false" customHeight="false" outlineLevel="0" collapsed="false">
      <c r="C408" s="16"/>
      <c r="D408" s="16"/>
    </row>
    <row r="409" customFormat="false" ht="15.75" hidden="false" customHeight="false" outlineLevel="0" collapsed="false">
      <c r="C409" s="16"/>
      <c r="D409" s="16"/>
    </row>
    <row r="410" customFormat="false" ht="15.75" hidden="false" customHeight="false" outlineLevel="0" collapsed="false">
      <c r="C410" s="16"/>
      <c r="D410" s="16"/>
    </row>
    <row r="411" customFormat="false" ht="15.75" hidden="false" customHeight="false" outlineLevel="0" collapsed="false">
      <c r="C411" s="16"/>
      <c r="D411" s="16"/>
    </row>
    <row r="412" customFormat="false" ht="15.75" hidden="false" customHeight="false" outlineLevel="0" collapsed="false">
      <c r="C412" s="16"/>
      <c r="D412" s="16"/>
    </row>
    <row r="413" customFormat="false" ht="15.75" hidden="false" customHeight="false" outlineLevel="0" collapsed="false">
      <c r="C413" s="16"/>
      <c r="D413" s="16"/>
    </row>
    <row r="414" customFormat="false" ht="15.75" hidden="false" customHeight="false" outlineLevel="0" collapsed="false">
      <c r="C414" s="16"/>
      <c r="D414" s="16"/>
    </row>
    <row r="415" customFormat="false" ht="15.75" hidden="false" customHeight="false" outlineLevel="0" collapsed="false">
      <c r="C415" s="16"/>
      <c r="D415" s="16"/>
    </row>
    <row r="416" customFormat="false" ht="15.75" hidden="false" customHeight="false" outlineLevel="0" collapsed="false">
      <c r="C416" s="16"/>
      <c r="D416" s="16"/>
    </row>
    <row r="417" customFormat="false" ht="15.75" hidden="false" customHeight="false" outlineLevel="0" collapsed="false">
      <c r="C417" s="16"/>
      <c r="D417" s="16"/>
    </row>
    <row r="418" customFormat="false" ht="15.75" hidden="false" customHeight="false" outlineLevel="0" collapsed="false">
      <c r="C418" s="16"/>
      <c r="D418" s="16"/>
    </row>
    <row r="419" customFormat="false" ht="15.75" hidden="false" customHeight="false" outlineLevel="0" collapsed="false">
      <c r="C419" s="16"/>
      <c r="D419" s="16"/>
    </row>
    <row r="420" customFormat="false" ht="15.75" hidden="false" customHeight="false" outlineLevel="0" collapsed="false">
      <c r="C420" s="16"/>
      <c r="D420" s="16"/>
    </row>
    <row r="421" customFormat="false" ht="15.75" hidden="false" customHeight="false" outlineLevel="0" collapsed="false">
      <c r="C421" s="16"/>
      <c r="D421" s="16"/>
    </row>
    <row r="422" customFormat="false" ht="15.75" hidden="false" customHeight="false" outlineLevel="0" collapsed="false">
      <c r="C422" s="16"/>
      <c r="D422" s="16"/>
    </row>
    <row r="423" customFormat="false" ht="15.75" hidden="false" customHeight="false" outlineLevel="0" collapsed="false">
      <c r="C423" s="16"/>
      <c r="D423" s="16"/>
    </row>
    <row r="424" customFormat="false" ht="15.75" hidden="false" customHeight="false" outlineLevel="0" collapsed="false">
      <c r="C424" s="16"/>
      <c r="D424" s="16"/>
    </row>
    <row r="425" customFormat="false" ht="15.75" hidden="false" customHeight="false" outlineLevel="0" collapsed="false">
      <c r="C425" s="16"/>
      <c r="D425" s="16"/>
    </row>
    <row r="426" customFormat="false" ht="15.75" hidden="false" customHeight="false" outlineLevel="0" collapsed="false">
      <c r="C426" s="16"/>
      <c r="D426" s="16"/>
    </row>
    <row r="427" customFormat="false" ht="15.75" hidden="false" customHeight="false" outlineLevel="0" collapsed="false">
      <c r="C427" s="16"/>
      <c r="D427" s="16"/>
    </row>
    <row r="428" customFormat="false" ht="15.75" hidden="false" customHeight="false" outlineLevel="0" collapsed="false">
      <c r="C428" s="16"/>
      <c r="D428" s="16"/>
    </row>
    <row r="429" customFormat="false" ht="15.75" hidden="false" customHeight="false" outlineLevel="0" collapsed="false">
      <c r="C429" s="16"/>
      <c r="D429" s="16"/>
    </row>
    <row r="430" customFormat="false" ht="15.75" hidden="false" customHeight="false" outlineLevel="0" collapsed="false">
      <c r="C430" s="16"/>
      <c r="D430" s="16"/>
    </row>
    <row r="431" customFormat="false" ht="15.75" hidden="false" customHeight="false" outlineLevel="0" collapsed="false">
      <c r="C431" s="16"/>
      <c r="D431" s="16"/>
    </row>
    <row r="432" customFormat="false" ht="15.75" hidden="false" customHeight="false" outlineLevel="0" collapsed="false">
      <c r="C432" s="16"/>
      <c r="D432" s="16"/>
    </row>
    <row r="433" customFormat="false" ht="15.75" hidden="false" customHeight="false" outlineLevel="0" collapsed="false">
      <c r="C433" s="16"/>
      <c r="D433" s="16"/>
    </row>
    <row r="434" customFormat="false" ht="15.75" hidden="false" customHeight="false" outlineLevel="0" collapsed="false">
      <c r="C434" s="16"/>
      <c r="D434" s="16"/>
    </row>
    <row r="435" customFormat="false" ht="15.75" hidden="false" customHeight="false" outlineLevel="0" collapsed="false">
      <c r="C435" s="16"/>
      <c r="D435" s="16"/>
    </row>
    <row r="436" customFormat="false" ht="15.75" hidden="false" customHeight="false" outlineLevel="0" collapsed="false">
      <c r="C436" s="16"/>
      <c r="D436" s="16"/>
    </row>
    <row r="437" customFormat="false" ht="15.75" hidden="false" customHeight="false" outlineLevel="0" collapsed="false">
      <c r="C437" s="16"/>
      <c r="D437" s="16"/>
    </row>
    <row r="438" customFormat="false" ht="15.75" hidden="false" customHeight="false" outlineLevel="0" collapsed="false">
      <c r="C438" s="16"/>
      <c r="D438" s="16"/>
    </row>
    <row r="439" customFormat="false" ht="15.75" hidden="false" customHeight="false" outlineLevel="0" collapsed="false">
      <c r="C439" s="16"/>
      <c r="D439" s="16"/>
    </row>
    <row r="440" customFormat="false" ht="15.75" hidden="false" customHeight="false" outlineLevel="0" collapsed="false">
      <c r="C440" s="16"/>
      <c r="D440" s="16"/>
    </row>
    <row r="441" customFormat="false" ht="15.75" hidden="false" customHeight="false" outlineLevel="0" collapsed="false">
      <c r="C441" s="16"/>
      <c r="D441" s="16"/>
    </row>
    <row r="442" customFormat="false" ht="15.75" hidden="false" customHeight="false" outlineLevel="0" collapsed="false">
      <c r="C442" s="16"/>
      <c r="D442" s="16"/>
    </row>
    <row r="443" customFormat="false" ht="15.75" hidden="false" customHeight="false" outlineLevel="0" collapsed="false">
      <c r="C443" s="16"/>
      <c r="D443" s="16"/>
    </row>
    <row r="444" customFormat="false" ht="15.75" hidden="false" customHeight="false" outlineLevel="0" collapsed="false">
      <c r="C444" s="16"/>
      <c r="D444" s="16"/>
    </row>
    <row r="445" customFormat="false" ht="15.75" hidden="false" customHeight="false" outlineLevel="0" collapsed="false">
      <c r="C445" s="16"/>
      <c r="D445" s="16"/>
    </row>
    <row r="446" customFormat="false" ht="15.75" hidden="false" customHeight="false" outlineLevel="0" collapsed="false">
      <c r="C446" s="16"/>
      <c r="D446" s="16"/>
    </row>
    <row r="447" customFormat="false" ht="15.75" hidden="false" customHeight="false" outlineLevel="0" collapsed="false">
      <c r="C447" s="16"/>
      <c r="D447" s="16"/>
    </row>
    <row r="448" customFormat="false" ht="15.75" hidden="false" customHeight="false" outlineLevel="0" collapsed="false">
      <c r="C448" s="16"/>
      <c r="D448" s="16"/>
    </row>
    <row r="449" customFormat="false" ht="15.75" hidden="false" customHeight="false" outlineLevel="0" collapsed="false">
      <c r="C449" s="16"/>
      <c r="D449" s="16"/>
    </row>
    <row r="450" customFormat="false" ht="15.75" hidden="false" customHeight="false" outlineLevel="0" collapsed="false">
      <c r="C450" s="16"/>
      <c r="D450" s="16"/>
    </row>
    <row r="451" customFormat="false" ht="15.75" hidden="false" customHeight="false" outlineLevel="0" collapsed="false">
      <c r="C451" s="16"/>
      <c r="D451" s="16"/>
    </row>
    <row r="452" customFormat="false" ht="15.75" hidden="false" customHeight="false" outlineLevel="0" collapsed="false">
      <c r="C452" s="16"/>
      <c r="D452" s="16"/>
    </row>
    <row r="453" customFormat="false" ht="15.75" hidden="false" customHeight="false" outlineLevel="0" collapsed="false">
      <c r="C453" s="16"/>
      <c r="D453" s="16"/>
    </row>
    <row r="454" customFormat="false" ht="15.75" hidden="false" customHeight="false" outlineLevel="0" collapsed="false">
      <c r="C454" s="16"/>
      <c r="D454" s="16"/>
    </row>
    <row r="455" customFormat="false" ht="15.75" hidden="false" customHeight="false" outlineLevel="0" collapsed="false">
      <c r="C455" s="16"/>
      <c r="D455" s="16"/>
    </row>
    <row r="456" customFormat="false" ht="15.75" hidden="false" customHeight="false" outlineLevel="0" collapsed="false">
      <c r="C456" s="16"/>
      <c r="D456" s="16"/>
    </row>
    <row r="457" customFormat="false" ht="15.75" hidden="false" customHeight="false" outlineLevel="0" collapsed="false">
      <c r="C457" s="16"/>
      <c r="D457" s="16"/>
    </row>
    <row r="458" customFormat="false" ht="15.75" hidden="false" customHeight="false" outlineLevel="0" collapsed="false">
      <c r="C458" s="16"/>
      <c r="D458" s="16"/>
    </row>
    <row r="459" customFormat="false" ht="15.75" hidden="false" customHeight="false" outlineLevel="0" collapsed="false">
      <c r="C459" s="16"/>
      <c r="D459" s="16"/>
    </row>
    <row r="460" customFormat="false" ht="15.75" hidden="false" customHeight="false" outlineLevel="0" collapsed="false">
      <c r="C460" s="16"/>
      <c r="D460" s="16"/>
    </row>
    <row r="461" customFormat="false" ht="15.75" hidden="false" customHeight="false" outlineLevel="0" collapsed="false">
      <c r="C461" s="16"/>
      <c r="D461" s="16"/>
    </row>
    <row r="462" customFormat="false" ht="15.75" hidden="false" customHeight="false" outlineLevel="0" collapsed="false">
      <c r="C462" s="16"/>
      <c r="D462" s="16"/>
    </row>
    <row r="463" customFormat="false" ht="15.75" hidden="false" customHeight="false" outlineLevel="0" collapsed="false">
      <c r="C463" s="16"/>
      <c r="D463" s="16"/>
    </row>
    <row r="464" customFormat="false" ht="15.75" hidden="false" customHeight="false" outlineLevel="0" collapsed="false">
      <c r="C464" s="16"/>
      <c r="D464" s="16"/>
    </row>
    <row r="465" customFormat="false" ht="15.75" hidden="false" customHeight="false" outlineLevel="0" collapsed="false">
      <c r="C465" s="16"/>
      <c r="D465" s="16"/>
    </row>
    <row r="466" customFormat="false" ht="15.75" hidden="false" customHeight="false" outlineLevel="0" collapsed="false">
      <c r="C466" s="16"/>
      <c r="D466" s="16"/>
    </row>
    <row r="467" customFormat="false" ht="15.75" hidden="false" customHeight="false" outlineLevel="0" collapsed="false">
      <c r="C467" s="16"/>
      <c r="D467" s="16"/>
    </row>
    <row r="468" customFormat="false" ht="15.75" hidden="false" customHeight="false" outlineLevel="0" collapsed="false">
      <c r="C468" s="16"/>
      <c r="D468" s="16"/>
    </row>
    <row r="469" customFormat="false" ht="15.75" hidden="false" customHeight="false" outlineLevel="0" collapsed="false">
      <c r="C469" s="16"/>
      <c r="D469" s="16"/>
    </row>
    <row r="470" customFormat="false" ht="15.75" hidden="false" customHeight="false" outlineLevel="0" collapsed="false">
      <c r="C470" s="16"/>
      <c r="D470" s="16"/>
    </row>
    <row r="471" customFormat="false" ht="15.75" hidden="false" customHeight="false" outlineLevel="0" collapsed="false">
      <c r="C471" s="16"/>
      <c r="D471" s="16"/>
    </row>
    <row r="472" customFormat="false" ht="15.75" hidden="false" customHeight="false" outlineLevel="0" collapsed="false">
      <c r="C472" s="16"/>
      <c r="D472" s="16"/>
    </row>
    <row r="473" customFormat="false" ht="15.75" hidden="false" customHeight="false" outlineLevel="0" collapsed="false">
      <c r="C473" s="16"/>
      <c r="D473" s="16"/>
    </row>
    <row r="474" customFormat="false" ht="15.75" hidden="false" customHeight="false" outlineLevel="0" collapsed="false">
      <c r="C474" s="16"/>
      <c r="D474" s="16"/>
    </row>
    <row r="475" customFormat="false" ht="15.75" hidden="false" customHeight="false" outlineLevel="0" collapsed="false">
      <c r="C475" s="16"/>
      <c r="D475" s="16"/>
    </row>
    <row r="476" customFormat="false" ht="15.75" hidden="false" customHeight="false" outlineLevel="0" collapsed="false">
      <c r="C476" s="16"/>
      <c r="D476" s="16"/>
    </row>
    <row r="477" customFormat="false" ht="15.75" hidden="false" customHeight="false" outlineLevel="0" collapsed="false">
      <c r="C477" s="16"/>
      <c r="D477" s="16"/>
    </row>
    <row r="478" customFormat="false" ht="15.75" hidden="false" customHeight="false" outlineLevel="0" collapsed="false">
      <c r="C478" s="16"/>
      <c r="D478" s="16"/>
    </row>
    <row r="479" customFormat="false" ht="15.75" hidden="false" customHeight="false" outlineLevel="0" collapsed="false">
      <c r="C479" s="16"/>
      <c r="D479" s="16"/>
    </row>
    <row r="480" customFormat="false" ht="15.75" hidden="false" customHeight="false" outlineLevel="0" collapsed="false">
      <c r="C480" s="16"/>
      <c r="D480" s="16"/>
    </row>
    <row r="481" customFormat="false" ht="15.75" hidden="false" customHeight="false" outlineLevel="0" collapsed="false">
      <c r="C481" s="16"/>
      <c r="D481" s="16"/>
    </row>
    <row r="482" customFormat="false" ht="15.75" hidden="false" customHeight="false" outlineLevel="0" collapsed="false">
      <c r="C482" s="16"/>
      <c r="D482" s="16"/>
    </row>
    <row r="483" customFormat="false" ht="15.75" hidden="false" customHeight="false" outlineLevel="0" collapsed="false">
      <c r="C483" s="16"/>
      <c r="D483" s="16"/>
    </row>
    <row r="484" customFormat="false" ht="15.75" hidden="false" customHeight="false" outlineLevel="0" collapsed="false">
      <c r="C484" s="16"/>
      <c r="D484" s="16"/>
    </row>
    <row r="485" customFormat="false" ht="15.75" hidden="false" customHeight="false" outlineLevel="0" collapsed="false">
      <c r="C485" s="16"/>
      <c r="D485" s="16"/>
    </row>
    <row r="486" customFormat="false" ht="15.75" hidden="false" customHeight="false" outlineLevel="0" collapsed="false">
      <c r="C486" s="16"/>
      <c r="D486" s="16"/>
    </row>
    <row r="487" customFormat="false" ht="15.75" hidden="false" customHeight="false" outlineLevel="0" collapsed="false">
      <c r="C487" s="16"/>
      <c r="D487" s="16"/>
    </row>
    <row r="488" customFormat="false" ht="15.75" hidden="false" customHeight="false" outlineLevel="0" collapsed="false">
      <c r="C488" s="16"/>
      <c r="D488" s="16"/>
    </row>
    <row r="489" customFormat="false" ht="15.75" hidden="false" customHeight="false" outlineLevel="0" collapsed="false">
      <c r="C489" s="16"/>
      <c r="D489" s="16"/>
    </row>
    <row r="490" customFormat="false" ht="15.75" hidden="false" customHeight="false" outlineLevel="0" collapsed="false">
      <c r="C490" s="16"/>
      <c r="D490" s="16"/>
    </row>
    <row r="491" customFormat="false" ht="15.75" hidden="false" customHeight="false" outlineLevel="0" collapsed="false">
      <c r="C491" s="16"/>
      <c r="D491" s="16"/>
    </row>
    <row r="492" customFormat="false" ht="15.75" hidden="false" customHeight="false" outlineLevel="0" collapsed="false">
      <c r="C492" s="16"/>
      <c r="D492" s="16"/>
    </row>
    <row r="493" customFormat="false" ht="15.75" hidden="false" customHeight="false" outlineLevel="0" collapsed="false">
      <c r="C493" s="16"/>
      <c r="D493" s="16"/>
    </row>
    <row r="494" customFormat="false" ht="15.75" hidden="false" customHeight="false" outlineLevel="0" collapsed="false">
      <c r="C494" s="16"/>
      <c r="D494" s="16"/>
    </row>
    <row r="495" customFormat="false" ht="15.75" hidden="false" customHeight="false" outlineLevel="0" collapsed="false">
      <c r="C495" s="16"/>
      <c r="D495" s="16"/>
    </row>
    <row r="496" customFormat="false" ht="15.75" hidden="false" customHeight="false" outlineLevel="0" collapsed="false">
      <c r="C496" s="16"/>
      <c r="D496" s="16"/>
    </row>
    <row r="497" customFormat="false" ht="15.75" hidden="false" customHeight="false" outlineLevel="0" collapsed="false">
      <c r="C497" s="16"/>
      <c r="D497" s="16"/>
    </row>
    <row r="498" customFormat="false" ht="15.75" hidden="false" customHeight="false" outlineLevel="0" collapsed="false">
      <c r="C498" s="16"/>
      <c r="D498" s="16"/>
    </row>
    <row r="499" customFormat="false" ht="15.75" hidden="false" customHeight="false" outlineLevel="0" collapsed="false">
      <c r="C499" s="16"/>
      <c r="D499" s="16"/>
    </row>
    <row r="500" customFormat="false" ht="15.75" hidden="false" customHeight="false" outlineLevel="0" collapsed="false">
      <c r="C500" s="16"/>
      <c r="D500" s="16"/>
    </row>
    <row r="501" customFormat="false" ht="15.75" hidden="false" customHeight="false" outlineLevel="0" collapsed="false">
      <c r="C501" s="16"/>
      <c r="D501" s="16"/>
    </row>
    <row r="502" customFormat="false" ht="15.75" hidden="false" customHeight="false" outlineLevel="0" collapsed="false">
      <c r="C502" s="16"/>
      <c r="D502" s="16"/>
    </row>
    <row r="503" customFormat="false" ht="15.75" hidden="false" customHeight="false" outlineLevel="0" collapsed="false">
      <c r="C503" s="16"/>
      <c r="D503" s="16"/>
    </row>
    <row r="504" customFormat="false" ht="15.75" hidden="false" customHeight="false" outlineLevel="0" collapsed="false">
      <c r="C504" s="16"/>
      <c r="D504" s="16"/>
    </row>
    <row r="505" customFormat="false" ht="15.75" hidden="false" customHeight="false" outlineLevel="0" collapsed="false">
      <c r="C505" s="16"/>
      <c r="D505" s="16"/>
    </row>
    <row r="506" customFormat="false" ht="15.75" hidden="false" customHeight="false" outlineLevel="0" collapsed="false">
      <c r="C506" s="16"/>
      <c r="D506" s="16"/>
    </row>
    <row r="507" customFormat="false" ht="15.75" hidden="false" customHeight="false" outlineLevel="0" collapsed="false">
      <c r="C507" s="16"/>
      <c r="D507" s="16"/>
    </row>
    <row r="508" customFormat="false" ht="15.75" hidden="false" customHeight="false" outlineLevel="0" collapsed="false">
      <c r="C508" s="16"/>
      <c r="D508" s="16"/>
    </row>
    <row r="509" customFormat="false" ht="15.75" hidden="false" customHeight="false" outlineLevel="0" collapsed="false">
      <c r="C509" s="16"/>
      <c r="D509" s="16"/>
    </row>
    <row r="510" customFormat="false" ht="15.75" hidden="false" customHeight="false" outlineLevel="0" collapsed="false">
      <c r="C510" s="16"/>
      <c r="D510" s="16"/>
    </row>
    <row r="511" customFormat="false" ht="15.75" hidden="false" customHeight="false" outlineLevel="0" collapsed="false">
      <c r="C511" s="16"/>
      <c r="D511" s="16"/>
    </row>
    <row r="512" customFormat="false" ht="15.75" hidden="false" customHeight="false" outlineLevel="0" collapsed="false">
      <c r="C512" s="16"/>
      <c r="D512" s="16"/>
    </row>
    <row r="513" customFormat="false" ht="15.75" hidden="false" customHeight="false" outlineLevel="0" collapsed="false">
      <c r="C513" s="16"/>
      <c r="D513" s="16"/>
    </row>
    <row r="514" customFormat="false" ht="15.75" hidden="false" customHeight="false" outlineLevel="0" collapsed="false">
      <c r="C514" s="16"/>
      <c r="D514" s="16"/>
    </row>
    <row r="515" customFormat="false" ht="15.75" hidden="false" customHeight="false" outlineLevel="0" collapsed="false">
      <c r="C515" s="16"/>
      <c r="D515" s="16"/>
    </row>
    <row r="516" customFormat="false" ht="15.75" hidden="false" customHeight="false" outlineLevel="0" collapsed="false">
      <c r="C516" s="16"/>
      <c r="D516" s="16"/>
    </row>
    <row r="517" customFormat="false" ht="15.75" hidden="false" customHeight="false" outlineLevel="0" collapsed="false">
      <c r="C517" s="16"/>
      <c r="D517" s="16"/>
    </row>
    <row r="518" customFormat="false" ht="15.75" hidden="false" customHeight="false" outlineLevel="0" collapsed="false">
      <c r="C518" s="16"/>
      <c r="D518" s="16"/>
    </row>
    <row r="519" customFormat="false" ht="15.75" hidden="false" customHeight="false" outlineLevel="0" collapsed="false">
      <c r="C519" s="16"/>
      <c r="D519" s="16"/>
    </row>
    <row r="520" customFormat="false" ht="15.75" hidden="false" customHeight="false" outlineLevel="0" collapsed="false">
      <c r="C520" s="16"/>
      <c r="D520" s="16"/>
    </row>
    <row r="521" customFormat="false" ht="15.75" hidden="false" customHeight="false" outlineLevel="0" collapsed="false">
      <c r="C521" s="16"/>
      <c r="D521" s="16"/>
    </row>
    <row r="522" customFormat="false" ht="15.75" hidden="false" customHeight="false" outlineLevel="0" collapsed="false">
      <c r="C522" s="16"/>
      <c r="D522" s="16"/>
    </row>
    <row r="523" customFormat="false" ht="15.75" hidden="false" customHeight="false" outlineLevel="0" collapsed="false">
      <c r="C523" s="16"/>
      <c r="D523" s="16"/>
    </row>
    <row r="524" customFormat="false" ht="15.75" hidden="false" customHeight="false" outlineLevel="0" collapsed="false">
      <c r="C524" s="16"/>
      <c r="D524" s="16"/>
    </row>
    <row r="525" customFormat="false" ht="15.75" hidden="false" customHeight="false" outlineLevel="0" collapsed="false">
      <c r="C525" s="16"/>
      <c r="D525" s="16"/>
    </row>
    <row r="526" customFormat="false" ht="15.75" hidden="false" customHeight="false" outlineLevel="0" collapsed="false">
      <c r="C526" s="16"/>
      <c r="D526" s="16"/>
    </row>
    <row r="527" customFormat="false" ht="15.75" hidden="false" customHeight="false" outlineLevel="0" collapsed="false">
      <c r="C527" s="16"/>
      <c r="D527" s="16"/>
    </row>
    <row r="528" customFormat="false" ht="15.75" hidden="false" customHeight="false" outlineLevel="0" collapsed="false">
      <c r="C528" s="16"/>
      <c r="D528" s="16"/>
    </row>
    <row r="529" customFormat="false" ht="15.75" hidden="false" customHeight="false" outlineLevel="0" collapsed="false">
      <c r="C529" s="16"/>
      <c r="D529" s="16"/>
    </row>
    <row r="530" customFormat="false" ht="15.75" hidden="false" customHeight="false" outlineLevel="0" collapsed="false">
      <c r="C530" s="16"/>
      <c r="D530" s="16"/>
    </row>
    <row r="531" customFormat="false" ht="15.75" hidden="false" customHeight="false" outlineLevel="0" collapsed="false">
      <c r="C531" s="16"/>
      <c r="D531" s="16"/>
    </row>
    <row r="532" customFormat="false" ht="15.75" hidden="false" customHeight="false" outlineLevel="0" collapsed="false">
      <c r="C532" s="16"/>
      <c r="D532" s="16"/>
    </row>
    <row r="533" customFormat="false" ht="15.75" hidden="false" customHeight="false" outlineLevel="0" collapsed="false">
      <c r="C533" s="16"/>
      <c r="D533" s="16"/>
    </row>
    <row r="534" customFormat="false" ht="15.75" hidden="false" customHeight="false" outlineLevel="0" collapsed="false">
      <c r="C534" s="16"/>
      <c r="D534" s="16"/>
    </row>
    <row r="535" customFormat="false" ht="15.75" hidden="false" customHeight="false" outlineLevel="0" collapsed="false">
      <c r="C535" s="16"/>
      <c r="D535" s="16"/>
    </row>
    <row r="536" customFormat="false" ht="15.75" hidden="false" customHeight="false" outlineLevel="0" collapsed="false">
      <c r="C536" s="16"/>
      <c r="D536" s="16"/>
    </row>
    <row r="537" customFormat="false" ht="15.75" hidden="false" customHeight="false" outlineLevel="0" collapsed="false">
      <c r="C537" s="16"/>
      <c r="D537" s="16"/>
    </row>
    <row r="538" customFormat="false" ht="15.75" hidden="false" customHeight="false" outlineLevel="0" collapsed="false">
      <c r="C538" s="16"/>
      <c r="D538" s="16"/>
    </row>
    <row r="539" customFormat="false" ht="15.75" hidden="false" customHeight="false" outlineLevel="0" collapsed="false">
      <c r="C539" s="16"/>
      <c r="D539" s="16"/>
    </row>
    <row r="540" customFormat="false" ht="15.75" hidden="false" customHeight="false" outlineLevel="0" collapsed="false">
      <c r="C540" s="16"/>
      <c r="D540" s="16"/>
    </row>
    <row r="541" customFormat="false" ht="15.75" hidden="false" customHeight="false" outlineLevel="0" collapsed="false">
      <c r="C541" s="16"/>
      <c r="D541" s="16"/>
    </row>
    <row r="542" customFormat="false" ht="15.75" hidden="false" customHeight="false" outlineLevel="0" collapsed="false">
      <c r="C542" s="16"/>
      <c r="D542" s="16"/>
    </row>
    <row r="543" customFormat="false" ht="15.75" hidden="false" customHeight="false" outlineLevel="0" collapsed="false">
      <c r="C543" s="16"/>
      <c r="D543" s="16"/>
    </row>
    <row r="544" customFormat="false" ht="15.75" hidden="false" customHeight="false" outlineLevel="0" collapsed="false">
      <c r="C544" s="16"/>
      <c r="D544" s="16"/>
    </row>
    <row r="545" customFormat="false" ht="15.75" hidden="false" customHeight="false" outlineLevel="0" collapsed="false">
      <c r="C545" s="16"/>
      <c r="D545" s="16"/>
    </row>
    <row r="546" customFormat="false" ht="15.75" hidden="false" customHeight="false" outlineLevel="0" collapsed="false">
      <c r="C546" s="16"/>
      <c r="D546" s="16"/>
    </row>
    <row r="547" customFormat="false" ht="15.75" hidden="false" customHeight="false" outlineLevel="0" collapsed="false">
      <c r="C547" s="16"/>
      <c r="D547" s="16"/>
    </row>
    <row r="548" customFormat="false" ht="15.75" hidden="false" customHeight="false" outlineLevel="0" collapsed="false">
      <c r="C548" s="16"/>
      <c r="D548" s="16"/>
    </row>
    <row r="549" customFormat="false" ht="15.75" hidden="false" customHeight="false" outlineLevel="0" collapsed="false">
      <c r="C549" s="16"/>
      <c r="D549" s="16"/>
    </row>
    <row r="550" customFormat="false" ht="15.75" hidden="false" customHeight="false" outlineLevel="0" collapsed="false">
      <c r="C550" s="16"/>
      <c r="D550" s="16"/>
    </row>
    <row r="551" customFormat="false" ht="15.75" hidden="false" customHeight="false" outlineLevel="0" collapsed="false">
      <c r="C551" s="16"/>
      <c r="D551" s="16"/>
    </row>
    <row r="552" customFormat="false" ht="15.75" hidden="false" customHeight="false" outlineLevel="0" collapsed="false">
      <c r="C552" s="16"/>
      <c r="D552" s="16"/>
    </row>
    <row r="553" customFormat="false" ht="15.75" hidden="false" customHeight="false" outlineLevel="0" collapsed="false">
      <c r="C553" s="16"/>
      <c r="D553" s="16"/>
    </row>
    <row r="554" customFormat="false" ht="15.75" hidden="false" customHeight="false" outlineLevel="0" collapsed="false">
      <c r="C554" s="16"/>
      <c r="D554" s="16"/>
    </row>
    <row r="555" customFormat="false" ht="15.75" hidden="false" customHeight="false" outlineLevel="0" collapsed="false">
      <c r="C555" s="16"/>
      <c r="D555" s="16"/>
    </row>
    <row r="556" customFormat="false" ht="15.75" hidden="false" customHeight="false" outlineLevel="0" collapsed="false">
      <c r="C556" s="16"/>
      <c r="D556" s="16"/>
    </row>
    <row r="557" customFormat="false" ht="15.75" hidden="false" customHeight="false" outlineLevel="0" collapsed="false">
      <c r="C557" s="16"/>
      <c r="D557" s="16"/>
    </row>
    <row r="558" customFormat="false" ht="15.75" hidden="false" customHeight="false" outlineLevel="0" collapsed="false">
      <c r="C558" s="16"/>
      <c r="D558" s="16"/>
    </row>
    <row r="559" customFormat="false" ht="15.75" hidden="false" customHeight="false" outlineLevel="0" collapsed="false">
      <c r="C559" s="16"/>
      <c r="D559" s="16"/>
    </row>
    <row r="560" customFormat="false" ht="15.75" hidden="false" customHeight="false" outlineLevel="0" collapsed="false">
      <c r="C560" s="16"/>
      <c r="D560" s="16"/>
    </row>
    <row r="561" customFormat="false" ht="15.75" hidden="false" customHeight="false" outlineLevel="0" collapsed="false">
      <c r="C561" s="16"/>
      <c r="D561" s="16"/>
    </row>
    <row r="562" customFormat="false" ht="15.75" hidden="false" customHeight="false" outlineLevel="0" collapsed="false">
      <c r="C562" s="16"/>
      <c r="D562" s="16"/>
    </row>
    <row r="563" customFormat="false" ht="15.75" hidden="false" customHeight="false" outlineLevel="0" collapsed="false">
      <c r="C563" s="16"/>
      <c r="D563" s="16"/>
    </row>
    <row r="564" customFormat="false" ht="15.75" hidden="false" customHeight="false" outlineLevel="0" collapsed="false">
      <c r="C564" s="16"/>
      <c r="D564" s="16"/>
    </row>
    <row r="565" customFormat="false" ht="15.75" hidden="false" customHeight="false" outlineLevel="0" collapsed="false">
      <c r="C565" s="16"/>
      <c r="D565" s="16"/>
    </row>
    <row r="566" customFormat="false" ht="15.75" hidden="false" customHeight="false" outlineLevel="0" collapsed="false">
      <c r="C566" s="16"/>
      <c r="D566" s="16"/>
    </row>
    <row r="567" customFormat="false" ht="15.75" hidden="false" customHeight="false" outlineLevel="0" collapsed="false">
      <c r="C567" s="16"/>
      <c r="D567" s="16"/>
    </row>
    <row r="568" customFormat="false" ht="15.75" hidden="false" customHeight="false" outlineLevel="0" collapsed="false">
      <c r="C568" s="16"/>
      <c r="D568" s="16"/>
    </row>
    <row r="569" customFormat="false" ht="15.75" hidden="false" customHeight="false" outlineLevel="0" collapsed="false">
      <c r="C569" s="16"/>
      <c r="D569" s="16"/>
    </row>
    <row r="570" customFormat="false" ht="15.75" hidden="false" customHeight="false" outlineLevel="0" collapsed="false">
      <c r="C570" s="16"/>
      <c r="D570" s="16"/>
    </row>
    <row r="571" customFormat="false" ht="15.75" hidden="false" customHeight="false" outlineLevel="0" collapsed="false">
      <c r="C571" s="16"/>
      <c r="D571" s="16"/>
    </row>
    <row r="572" customFormat="false" ht="15.75" hidden="false" customHeight="false" outlineLevel="0" collapsed="false">
      <c r="C572" s="16"/>
      <c r="D572" s="16"/>
    </row>
    <row r="573" customFormat="false" ht="15.75" hidden="false" customHeight="false" outlineLevel="0" collapsed="false">
      <c r="C573" s="16"/>
      <c r="D573" s="16"/>
    </row>
    <row r="574" customFormat="false" ht="15.75" hidden="false" customHeight="false" outlineLevel="0" collapsed="false">
      <c r="C574" s="16"/>
      <c r="D574" s="16"/>
    </row>
    <row r="575" customFormat="false" ht="15.75" hidden="false" customHeight="false" outlineLevel="0" collapsed="false">
      <c r="C575" s="16"/>
      <c r="D575" s="16"/>
    </row>
    <row r="576" customFormat="false" ht="15.75" hidden="false" customHeight="false" outlineLevel="0" collapsed="false">
      <c r="C576" s="16"/>
      <c r="D576" s="16"/>
    </row>
    <row r="577" customFormat="false" ht="15.75" hidden="false" customHeight="false" outlineLevel="0" collapsed="false">
      <c r="C577" s="16"/>
      <c r="D577" s="16"/>
    </row>
    <row r="578" customFormat="false" ht="15.75" hidden="false" customHeight="false" outlineLevel="0" collapsed="false">
      <c r="C578" s="16"/>
      <c r="D578" s="16"/>
    </row>
    <row r="579" customFormat="false" ht="15.75" hidden="false" customHeight="false" outlineLevel="0" collapsed="false">
      <c r="C579" s="16"/>
      <c r="D579" s="16"/>
    </row>
    <row r="580" customFormat="false" ht="15.75" hidden="false" customHeight="false" outlineLevel="0" collapsed="false">
      <c r="C580" s="16"/>
      <c r="D580" s="16"/>
    </row>
    <row r="581" customFormat="false" ht="15.75" hidden="false" customHeight="false" outlineLevel="0" collapsed="false">
      <c r="C581" s="16"/>
      <c r="D581" s="16"/>
    </row>
    <row r="582" customFormat="false" ht="15.75" hidden="false" customHeight="false" outlineLevel="0" collapsed="false">
      <c r="C582" s="16"/>
      <c r="D582" s="16"/>
    </row>
    <row r="583" customFormat="false" ht="15.75" hidden="false" customHeight="false" outlineLevel="0" collapsed="false">
      <c r="C583" s="16"/>
      <c r="D583" s="16"/>
    </row>
    <row r="584" customFormat="false" ht="15.75" hidden="false" customHeight="false" outlineLevel="0" collapsed="false">
      <c r="C584" s="16"/>
      <c r="D584" s="16"/>
    </row>
    <row r="585" customFormat="false" ht="15.75" hidden="false" customHeight="false" outlineLevel="0" collapsed="false">
      <c r="C585" s="16"/>
      <c r="D585" s="16"/>
    </row>
    <row r="586" customFormat="false" ht="15.75" hidden="false" customHeight="false" outlineLevel="0" collapsed="false">
      <c r="C586" s="16"/>
      <c r="D586" s="16"/>
    </row>
    <row r="587" customFormat="false" ht="15.75" hidden="false" customHeight="false" outlineLevel="0" collapsed="false">
      <c r="C587" s="16"/>
      <c r="D587" s="16"/>
    </row>
    <row r="588" customFormat="false" ht="15.75" hidden="false" customHeight="false" outlineLevel="0" collapsed="false">
      <c r="C588" s="16"/>
      <c r="D588" s="16"/>
    </row>
    <row r="589" customFormat="false" ht="15.75" hidden="false" customHeight="false" outlineLevel="0" collapsed="false">
      <c r="C589" s="16"/>
      <c r="D589" s="16"/>
    </row>
    <row r="590" customFormat="false" ht="15.75" hidden="false" customHeight="false" outlineLevel="0" collapsed="false">
      <c r="C590" s="16"/>
      <c r="D590" s="16"/>
    </row>
    <row r="591" customFormat="false" ht="15.75" hidden="false" customHeight="false" outlineLevel="0" collapsed="false">
      <c r="C591" s="16"/>
      <c r="D591" s="16"/>
    </row>
    <row r="592" customFormat="false" ht="15.75" hidden="false" customHeight="false" outlineLevel="0" collapsed="false">
      <c r="C592" s="16"/>
      <c r="D592" s="16"/>
    </row>
    <row r="593" customFormat="false" ht="15.75" hidden="false" customHeight="false" outlineLevel="0" collapsed="false">
      <c r="C593" s="16"/>
      <c r="D593" s="16"/>
    </row>
    <row r="594" customFormat="false" ht="15.75" hidden="false" customHeight="false" outlineLevel="0" collapsed="false">
      <c r="C594" s="16"/>
      <c r="D594" s="16"/>
    </row>
    <row r="595" customFormat="false" ht="15.75" hidden="false" customHeight="false" outlineLevel="0" collapsed="false">
      <c r="C595" s="16"/>
      <c r="D595" s="16"/>
    </row>
    <row r="596" customFormat="false" ht="15.75" hidden="false" customHeight="false" outlineLevel="0" collapsed="false">
      <c r="C596" s="16"/>
      <c r="D596" s="16"/>
    </row>
    <row r="597" customFormat="false" ht="15.75" hidden="false" customHeight="false" outlineLevel="0" collapsed="false">
      <c r="C597" s="16"/>
      <c r="D597" s="16"/>
    </row>
    <row r="598" customFormat="false" ht="15.75" hidden="false" customHeight="false" outlineLevel="0" collapsed="false">
      <c r="C598" s="16"/>
      <c r="D598" s="16"/>
    </row>
    <row r="599" customFormat="false" ht="15.75" hidden="false" customHeight="false" outlineLevel="0" collapsed="false">
      <c r="C599" s="16"/>
      <c r="D599" s="16"/>
    </row>
    <row r="600" customFormat="false" ht="15.75" hidden="false" customHeight="false" outlineLevel="0" collapsed="false">
      <c r="C600" s="16"/>
      <c r="D600" s="16"/>
    </row>
    <row r="601" customFormat="false" ht="15.75" hidden="false" customHeight="false" outlineLevel="0" collapsed="false">
      <c r="C601" s="16"/>
      <c r="D601" s="16"/>
    </row>
    <row r="602" customFormat="false" ht="15.75" hidden="false" customHeight="false" outlineLevel="0" collapsed="false">
      <c r="C602" s="16"/>
      <c r="D602" s="16"/>
    </row>
    <row r="603" customFormat="false" ht="15.75" hidden="false" customHeight="false" outlineLevel="0" collapsed="false">
      <c r="C603" s="16"/>
      <c r="D603" s="16"/>
    </row>
    <row r="604" customFormat="false" ht="15.75" hidden="false" customHeight="false" outlineLevel="0" collapsed="false">
      <c r="C604" s="16"/>
      <c r="D604" s="16"/>
    </row>
    <row r="605" customFormat="false" ht="15.75" hidden="false" customHeight="false" outlineLevel="0" collapsed="false">
      <c r="C605" s="16"/>
      <c r="D605" s="16"/>
    </row>
    <row r="606" customFormat="false" ht="15.75" hidden="false" customHeight="false" outlineLevel="0" collapsed="false">
      <c r="C606" s="16"/>
      <c r="D606" s="16"/>
    </row>
    <row r="607" customFormat="false" ht="15.75" hidden="false" customHeight="false" outlineLevel="0" collapsed="false">
      <c r="C607" s="16"/>
      <c r="D607" s="16"/>
    </row>
    <row r="608" customFormat="false" ht="15.75" hidden="false" customHeight="false" outlineLevel="0" collapsed="false">
      <c r="C608" s="16"/>
      <c r="D608" s="16"/>
    </row>
    <row r="609" customFormat="false" ht="15.75" hidden="false" customHeight="false" outlineLevel="0" collapsed="false">
      <c r="C609" s="16"/>
      <c r="D609" s="16"/>
    </row>
    <row r="610" customFormat="false" ht="15.75" hidden="false" customHeight="false" outlineLevel="0" collapsed="false">
      <c r="C610" s="16"/>
      <c r="D610" s="16"/>
    </row>
    <row r="611" customFormat="false" ht="15.75" hidden="false" customHeight="false" outlineLevel="0" collapsed="false">
      <c r="C611" s="16"/>
      <c r="D611" s="16"/>
    </row>
    <row r="612" customFormat="false" ht="15.75" hidden="false" customHeight="false" outlineLevel="0" collapsed="false">
      <c r="C612" s="16"/>
      <c r="D612" s="16"/>
    </row>
    <row r="613" customFormat="false" ht="15.75" hidden="false" customHeight="false" outlineLevel="0" collapsed="false">
      <c r="C613" s="16"/>
      <c r="D613" s="16"/>
    </row>
    <row r="614" customFormat="false" ht="15.75" hidden="false" customHeight="false" outlineLevel="0" collapsed="false">
      <c r="C614" s="16"/>
      <c r="D614" s="16"/>
    </row>
    <row r="615" customFormat="false" ht="15.75" hidden="false" customHeight="false" outlineLevel="0" collapsed="false">
      <c r="C615" s="16"/>
      <c r="D615" s="16"/>
    </row>
    <row r="616" customFormat="false" ht="15.75" hidden="false" customHeight="false" outlineLevel="0" collapsed="false">
      <c r="C616" s="16"/>
      <c r="D616" s="16"/>
    </row>
    <row r="617" customFormat="false" ht="15.75" hidden="false" customHeight="false" outlineLevel="0" collapsed="false">
      <c r="C617" s="16"/>
      <c r="D617" s="16"/>
    </row>
    <row r="618" customFormat="false" ht="15.75" hidden="false" customHeight="false" outlineLevel="0" collapsed="false">
      <c r="C618" s="16"/>
      <c r="D618" s="16"/>
    </row>
    <row r="619" customFormat="false" ht="15.75" hidden="false" customHeight="false" outlineLevel="0" collapsed="false">
      <c r="C619" s="16"/>
      <c r="D619" s="16"/>
    </row>
    <row r="620" customFormat="false" ht="15.75" hidden="false" customHeight="false" outlineLevel="0" collapsed="false">
      <c r="C620" s="16"/>
      <c r="D620" s="16"/>
    </row>
    <row r="621" customFormat="false" ht="15.75" hidden="false" customHeight="false" outlineLevel="0" collapsed="false">
      <c r="C621" s="16"/>
      <c r="D621" s="16"/>
    </row>
    <row r="622" customFormat="false" ht="15.75" hidden="false" customHeight="false" outlineLevel="0" collapsed="false">
      <c r="C622" s="16"/>
      <c r="D622" s="16"/>
    </row>
    <row r="623" customFormat="false" ht="15.75" hidden="false" customHeight="false" outlineLevel="0" collapsed="false">
      <c r="C623" s="16"/>
      <c r="D623" s="16"/>
    </row>
    <row r="624" customFormat="false" ht="15.75" hidden="false" customHeight="false" outlineLevel="0" collapsed="false">
      <c r="C624" s="16"/>
      <c r="D624" s="16"/>
    </row>
    <row r="625" customFormat="false" ht="15.75" hidden="false" customHeight="false" outlineLevel="0" collapsed="false">
      <c r="C625" s="16"/>
      <c r="D625" s="16"/>
    </row>
    <row r="626" customFormat="false" ht="15.75" hidden="false" customHeight="false" outlineLevel="0" collapsed="false">
      <c r="C626" s="16"/>
      <c r="D626" s="16"/>
    </row>
    <row r="627" customFormat="false" ht="15.75" hidden="false" customHeight="false" outlineLevel="0" collapsed="false">
      <c r="C627" s="16"/>
      <c r="D627" s="16"/>
    </row>
    <row r="628" customFormat="false" ht="15.75" hidden="false" customHeight="false" outlineLevel="0" collapsed="false">
      <c r="C628" s="16"/>
      <c r="D628" s="16"/>
    </row>
    <row r="629" customFormat="false" ht="15.75" hidden="false" customHeight="false" outlineLevel="0" collapsed="false">
      <c r="C629" s="16"/>
      <c r="D629" s="16"/>
    </row>
    <row r="630" customFormat="false" ht="15.75" hidden="false" customHeight="false" outlineLevel="0" collapsed="false">
      <c r="C630" s="16"/>
      <c r="D630" s="16"/>
    </row>
    <row r="631" customFormat="false" ht="15.75" hidden="false" customHeight="false" outlineLevel="0" collapsed="false">
      <c r="C631" s="16"/>
      <c r="D631" s="16"/>
    </row>
    <row r="632" customFormat="false" ht="15.75" hidden="false" customHeight="false" outlineLevel="0" collapsed="false">
      <c r="C632" s="16"/>
      <c r="D632" s="16"/>
    </row>
    <row r="633" customFormat="false" ht="15.75" hidden="false" customHeight="false" outlineLevel="0" collapsed="false">
      <c r="C633" s="16"/>
      <c r="D633" s="16"/>
    </row>
    <row r="634" customFormat="false" ht="15.75" hidden="false" customHeight="false" outlineLevel="0" collapsed="false">
      <c r="C634" s="16"/>
      <c r="D634" s="16"/>
    </row>
    <row r="635" customFormat="false" ht="15.75" hidden="false" customHeight="false" outlineLevel="0" collapsed="false">
      <c r="C635" s="16"/>
      <c r="D635" s="16"/>
    </row>
    <row r="636" customFormat="false" ht="15.75" hidden="false" customHeight="false" outlineLevel="0" collapsed="false">
      <c r="C636" s="16"/>
      <c r="D636" s="16"/>
    </row>
    <row r="637" customFormat="false" ht="15.75" hidden="false" customHeight="false" outlineLevel="0" collapsed="false">
      <c r="C637" s="16"/>
      <c r="D637" s="16"/>
    </row>
    <row r="638" customFormat="false" ht="15.75" hidden="false" customHeight="false" outlineLevel="0" collapsed="false">
      <c r="C638" s="16"/>
      <c r="D638" s="16"/>
    </row>
    <row r="639" customFormat="false" ht="15.75" hidden="false" customHeight="false" outlineLevel="0" collapsed="false">
      <c r="C639" s="16"/>
      <c r="D639" s="16"/>
    </row>
    <row r="640" customFormat="false" ht="15.75" hidden="false" customHeight="false" outlineLevel="0" collapsed="false">
      <c r="C640" s="16"/>
      <c r="D640" s="16"/>
    </row>
    <row r="641" customFormat="false" ht="15.75" hidden="false" customHeight="false" outlineLevel="0" collapsed="false">
      <c r="C641" s="16"/>
      <c r="D641" s="16"/>
    </row>
    <row r="642" customFormat="false" ht="15.75" hidden="false" customHeight="false" outlineLevel="0" collapsed="false">
      <c r="C642" s="16"/>
      <c r="D642" s="16"/>
    </row>
    <row r="643" customFormat="false" ht="15.75" hidden="false" customHeight="false" outlineLevel="0" collapsed="false">
      <c r="C643" s="16"/>
      <c r="D643" s="16"/>
    </row>
    <row r="644" customFormat="false" ht="15.75" hidden="false" customHeight="false" outlineLevel="0" collapsed="false">
      <c r="C644" s="16"/>
      <c r="D644" s="16"/>
    </row>
    <row r="645" customFormat="false" ht="15.75" hidden="false" customHeight="false" outlineLevel="0" collapsed="false">
      <c r="C645" s="16"/>
      <c r="D645" s="16"/>
    </row>
    <row r="646" customFormat="false" ht="15.75" hidden="false" customHeight="false" outlineLevel="0" collapsed="false">
      <c r="C646" s="16"/>
      <c r="D646" s="16"/>
    </row>
    <row r="647" customFormat="false" ht="15.75" hidden="false" customHeight="false" outlineLevel="0" collapsed="false">
      <c r="C647" s="16"/>
      <c r="D647" s="16"/>
    </row>
    <row r="648" customFormat="false" ht="15.75" hidden="false" customHeight="false" outlineLevel="0" collapsed="false">
      <c r="C648" s="16"/>
      <c r="D648" s="16"/>
    </row>
    <row r="649" customFormat="false" ht="15.75" hidden="false" customHeight="false" outlineLevel="0" collapsed="false">
      <c r="C649" s="16"/>
      <c r="D649" s="16"/>
    </row>
    <row r="650" customFormat="false" ht="15.75" hidden="false" customHeight="false" outlineLevel="0" collapsed="false">
      <c r="C650" s="16"/>
      <c r="D650" s="16"/>
    </row>
    <row r="651" customFormat="false" ht="15.75" hidden="false" customHeight="false" outlineLevel="0" collapsed="false">
      <c r="C651" s="16"/>
      <c r="D651" s="16"/>
    </row>
    <row r="652" customFormat="false" ht="15.75" hidden="false" customHeight="false" outlineLevel="0" collapsed="false">
      <c r="C652" s="16"/>
      <c r="D652" s="16"/>
    </row>
    <row r="653" customFormat="false" ht="15.75" hidden="false" customHeight="false" outlineLevel="0" collapsed="false">
      <c r="C653" s="16"/>
      <c r="D653" s="16"/>
    </row>
    <row r="654" customFormat="false" ht="15.75" hidden="false" customHeight="false" outlineLevel="0" collapsed="false">
      <c r="C654" s="16"/>
      <c r="D654" s="16"/>
    </row>
    <row r="655" customFormat="false" ht="15.75" hidden="false" customHeight="false" outlineLevel="0" collapsed="false">
      <c r="C655" s="16"/>
      <c r="D655" s="16"/>
    </row>
    <row r="656" customFormat="false" ht="15.75" hidden="false" customHeight="false" outlineLevel="0" collapsed="false">
      <c r="C656" s="16"/>
      <c r="D656" s="16"/>
    </row>
    <row r="657" customFormat="false" ht="15.75" hidden="false" customHeight="false" outlineLevel="0" collapsed="false">
      <c r="C657" s="16"/>
      <c r="D657" s="16"/>
    </row>
    <row r="658" customFormat="false" ht="15.75" hidden="false" customHeight="false" outlineLevel="0" collapsed="false">
      <c r="C658" s="16"/>
      <c r="D658" s="16"/>
    </row>
    <row r="659" customFormat="false" ht="15.75" hidden="false" customHeight="false" outlineLevel="0" collapsed="false">
      <c r="C659" s="16"/>
      <c r="D659" s="16"/>
    </row>
    <row r="660" customFormat="false" ht="15.75" hidden="false" customHeight="false" outlineLevel="0" collapsed="false">
      <c r="C660" s="16"/>
      <c r="D660" s="16"/>
    </row>
    <row r="661" customFormat="false" ht="15.75" hidden="false" customHeight="false" outlineLevel="0" collapsed="false">
      <c r="C661" s="16"/>
      <c r="D661" s="16"/>
    </row>
    <row r="662" customFormat="false" ht="15.75" hidden="false" customHeight="false" outlineLevel="0" collapsed="false">
      <c r="C662" s="16"/>
      <c r="D662" s="16"/>
    </row>
    <row r="663" customFormat="false" ht="15.75" hidden="false" customHeight="false" outlineLevel="0" collapsed="false">
      <c r="C663" s="16"/>
      <c r="D663" s="16"/>
    </row>
    <row r="664" customFormat="false" ht="15.75" hidden="false" customHeight="false" outlineLevel="0" collapsed="false">
      <c r="C664" s="16"/>
      <c r="D664" s="16"/>
    </row>
    <row r="665" customFormat="false" ht="15.75" hidden="false" customHeight="false" outlineLevel="0" collapsed="false">
      <c r="C665" s="16"/>
      <c r="D665" s="16"/>
    </row>
    <row r="666" customFormat="false" ht="15.75" hidden="false" customHeight="false" outlineLevel="0" collapsed="false">
      <c r="C666" s="16"/>
      <c r="D666" s="16"/>
    </row>
    <row r="667" customFormat="false" ht="15.75" hidden="false" customHeight="false" outlineLevel="0" collapsed="false">
      <c r="C667" s="16"/>
      <c r="D667" s="16"/>
    </row>
    <row r="668" customFormat="false" ht="15.75" hidden="false" customHeight="false" outlineLevel="0" collapsed="false">
      <c r="C668" s="16"/>
      <c r="D668" s="16"/>
    </row>
    <row r="669" customFormat="false" ht="15.75" hidden="false" customHeight="false" outlineLevel="0" collapsed="false">
      <c r="C669" s="16"/>
      <c r="D669" s="16"/>
    </row>
    <row r="670" customFormat="false" ht="15.75" hidden="false" customHeight="false" outlineLevel="0" collapsed="false">
      <c r="C670" s="16"/>
      <c r="D670" s="16"/>
    </row>
    <row r="671" customFormat="false" ht="15.75" hidden="false" customHeight="false" outlineLevel="0" collapsed="false">
      <c r="C671" s="16"/>
      <c r="D671" s="16"/>
    </row>
    <row r="672" customFormat="false" ht="15.75" hidden="false" customHeight="false" outlineLevel="0" collapsed="false">
      <c r="C672" s="16"/>
      <c r="D672" s="16"/>
    </row>
    <row r="673" customFormat="false" ht="15.75" hidden="false" customHeight="false" outlineLevel="0" collapsed="false">
      <c r="C673" s="16"/>
      <c r="D673" s="16"/>
    </row>
    <row r="674" customFormat="false" ht="15.75" hidden="false" customHeight="false" outlineLevel="0" collapsed="false">
      <c r="C674" s="16"/>
      <c r="D674" s="16"/>
    </row>
    <row r="675" customFormat="false" ht="15.75" hidden="false" customHeight="false" outlineLevel="0" collapsed="false">
      <c r="C675" s="16"/>
      <c r="D675" s="16"/>
    </row>
    <row r="676" customFormat="false" ht="15.75" hidden="false" customHeight="false" outlineLevel="0" collapsed="false">
      <c r="C676" s="16"/>
      <c r="D676" s="16"/>
    </row>
    <row r="677" customFormat="false" ht="15.75" hidden="false" customHeight="false" outlineLevel="0" collapsed="false">
      <c r="C677" s="16"/>
      <c r="D677" s="16"/>
    </row>
    <row r="678" customFormat="false" ht="15.75" hidden="false" customHeight="false" outlineLevel="0" collapsed="false">
      <c r="C678" s="16"/>
      <c r="D678" s="16"/>
    </row>
    <row r="679" customFormat="false" ht="15.75" hidden="false" customHeight="false" outlineLevel="0" collapsed="false">
      <c r="C679" s="16"/>
      <c r="D679" s="16"/>
    </row>
    <row r="680" customFormat="false" ht="15.75" hidden="false" customHeight="false" outlineLevel="0" collapsed="false">
      <c r="C680" s="16"/>
      <c r="D680" s="16"/>
    </row>
    <row r="681" customFormat="false" ht="15.75" hidden="false" customHeight="false" outlineLevel="0" collapsed="false">
      <c r="C681" s="16"/>
      <c r="D681" s="16"/>
    </row>
    <row r="682" customFormat="false" ht="15.75" hidden="false" customHeight="false" outlineLevel="0" collapsed="false">
      <c r="C682" s="16"/>
      <c r="D682" s="16"/>
    </row>
    <row r="683" customFormat="false" ht="15.75" hidden="false" customHeight="false" outlineLevel="0" collapsed="false">
      <c r="C683" s="16"/>
      <c r="D683" s="16"/>
    </row>
    <row r="684" customFormat="false" ht="15.75" hidden="false" customHeight="false" outlineLevel="0" collapsed="false">
      <c r="C684" s="16"/>
      <c r="D684" s="16"/>
    </row>
    <row r="685" customFormat="false" ht="15.75" hidden="false" customHeight="false" outlineLevel="0" collapsed="false">
      <c r="C685" s="16"/>
      <c r="D685" s="16"/>
    </row>
    <row r="686" customFormat="false" ht="15.75" hidden="false" customHeight="false" outlineLevel="0" collapsed="false">
      <c r="C686" s="16"/>
      <c r="D686" s="16"/>
    </row>
    <row r="687" customFormat="false" ht="15.75" hidden="false" customHeight="false" outlineLevel="0" collapsed="false">
      <c r="C687" s="16"/>
      <c r="D687" s="16"/>
    </row>
    <row r="688" customFormat="false" ht="15.75" hidden="false" customHeight="false" outlineLevel="0" collapsed="false">
      <c r="C688" s="16"/>
      <c r="D688" s="16"/>
    </row>
    <row r="689" customFormat="false" ht="15.75" hidden="false" customHeight="false" outlineLevel="0" collapsed="false">
      <c r="C689" s="16"/>
      <c r="D689" s="16"/>
    </row>
    <row r="690" customFormat="false" ht="15.75" hidden="false" customHeight="false" outlineLevel="0" collapsed="false">
      <c r="C690" s="16"/>
      <c r="D690" s="16"/>
    </row>
    <row r="691" customFormat="false" ht="15.75" hidden="false" customHeight="false" outlineLevel="0" collapsed="false">
      <c r="C691" s="16"/>
      <c r="D691" s="16"/>
    </row>
    <row r="692" customFormat="false" ht="15.75" hidden="false" customHeight="false" outlineLevel="0" collapsed="false">
      <c r="C692" s="16"/>
      <c r="D692" s="16"/>
    </row>
    <row r="693" customFormat="false" ht="15.75" hidden="false" customHeight="false" outlineLevel="0" collapsed="false">
      <c r="C693" s="16"/>
      <c r="D693" s="16"/>
    </row>
    <row r="694" customFormat="false" ht="15.75" hidden="false" customHeight="false" outlineLevel="0" collapsed="false">
      <c r="C694" s="16"/>
      <c r="D694" s="16"/>
    </row>
    <row r="695" customFormat="false" ht="15.75" hidden="false" customHeight="false" outlineLevel="0" collapsed="false">
      <c r="C695" s="16"/>
      <c r="D695" s="16"/>
    </row>
    <row r="696" customFormat="false" ht="15.75" hidden="false" customHeight="false" outlineLevel="0" collapsed="false">
      <c r="C696" s="16"/>
      <c r="D696" s="16"/>
    </row>
    <row r="697" customFormat="false" ht="15.75" hidden="false" customHeight="false" outlineLevel="0" collapsed="false">
      <c r="C697" s="16"/>
      <c r="D697" s="16"/>
    </row>
    <row r="698" customFormat="false" ht="15.75" hidden="false" customHeight="false" outlineLevel="0" collapsed="false">
      <c r="C698" s="16"/>
      <c r="D698" s="16"/>
    </row>
    <row r="699" customFormat="false" ht="15.75" hidden="false" customHeight="false" outlineLevel="0" collapsed="false">
      <c r="C699" s="16"/>
      <c r="D699" s="16"/>
    </row>
    <row r="700" customFormat="false" ht="15.75" hidden="false" customHeight="false" outlineLevel="0" collapsed="false">
      <c r="C700" s="16"/>
      <c r="D700" s="16"/>
    </row>
    <row r="701" customFormat="false" ht="15.75" hidden="false" customHeight="false" outlineLevel="0" collapsed="false">
      <c r="C701" s="16"/>
      <c r="D701" s="16"/>
    </row>
    <row r="702" customFormat="false" ht="15.75" hidden="false" customHeight="false" outlineLevel="0" collapsed="false">
      <c r="C702" s="16"/>
      <c r="D702" s="16"/>
    </row>
    <row r="703" customFormat="false" ht="15.75" hidden="false" customHeight="false" outlineLevel="0" collapsed="false">
      <c r="C703" s="16"/>
      <c r="D703" s="16"/>
    </row>
    <row r="704" customFormat="false" ht="15.75" hidden="false" customHeight="false" outlineLevel="0" collapsed="false">
      <c r="C704" s="16"/>
      <c r="D704" s="16"/>
    </row>
    <row r="705" customFormat="false" ht="15.75" hidden="false" customHeight="false" outlineLevel="0" collapsed="false">
      <c r="C705" s="16"/>
      <c r="D705" s="16"/>
    </row>
    <row r="706" customFormat="false" ht="15.75" hidden="false" customHeight="false" outlineLevel="0" collapsed="false">
      <c r="C706" s="16"/>
      <c r="D706" s="16"/>
    </row>
    <row r="707" customFormat="false" ht="15.75" hidden="false" customHeight="false" outlineLevel="0" collapsed="false">
      <c r="C707" s="16"/>
      <c r="D707" s="16"/>
    </row>
    <row r="708" customFormat="false" ht="15.75" hidden="false" customHeight="false" outlineLevel="0" collapsed="false">
      <c r="C708" s="16"/>
      <c r="D708" s="16"/>
    </row>
    <row r="709" customFormat="false" ht="15.75" hidden="false" customHeight="false" outlineLevel="0" collapsed="false">
      <c r="C709" s="16"/>
      <c r="D709" s="16"/>
    </row>
    <row r="710" customFormat="false" ht="15.75" hidden="false" customHeight="false" outlineLevel="0" collapsed="false">
      <c r="C710" s="16"/>
      <c r="D710" s="16"/>
    </row>
    <row r="711" customFormat="false" ht="15.75" hidden="false" customHeight="false" outlineLevel="0" collapsed="false">
      <c r="C711" s="16"/>
      <c r="D711" s="16"/>
    </row>
    <row r="712" customFormat="false" ht="15.75" hidden="false" customHeight="false" outlineLevel="0" collapsed="false">
      <c r="C712" s="16"/>
      <c r="D712" s="16"/>
    </row>
    <row r="713" customFormat="false" ht="15.75" hidden="false" customHeight="false" outlineLevel="0" collapsed="false">
      <c r="C713" s="16"/>
      <c r="D713" s="16"/>
    </row>
    <row r="714" customFormat="false" ht="15.75" hidden="false" customHeight="false" outlineLevel="0" collapsed="false">
      <c r="C714" s="16"/>
      <c r="D714" s="16"/>
    </row>
    <row r="715" customFormat="false" ht="15.75" hidden="false" customHeight="false" outlineLevel="0" collapsed="false">
      <c r="C715" s="16"/>
      <c r="D715" s="16"/>
    </row>
    <row r="716" customFormat="false" ht="15.75" hidden="false" customHeight="false" outlineLevel="0" collapsed="false">
      <c r="C716" s="16"/>
      <c r="D716" s="16"/>
    </row>
    <row r="717" customFormat="false" ht="15.75" hidden="false" customHeight="false" outlineLevel="0" collapsed="false">
      <c r="C717" s="16"/>
      <c r="D717" s="16"/>
    </row>
    <row r="718" customFormat="false" ht="15.75" hidden="false" customHeight="false" outlineLevel="0" collapsed="false">
      <c r="C718" s="16"/>
      <c r="D718" s="16"/>
    </row>
    <row r="719" customFormat="false" ht="15.75" hidden="false" customHeight="false" outlineLevel="0" collapsed="false">
      <c r="C719" s="16"/>
      <c r="D719" s="16"/>
    </row>
    <row r="720" customFormat="false" ht="15.75" hidden="false" customHeight="false" outlineLevel="0" collapsed="false">
      <c r="C720" s="16"/>
      <c r="D720" s="16"/>
    </row>
    <row r="721" customFormat="false" ht="15.75" hidden="false" customHeight="false" outlineLevel="0" collapsed="false">
      <c r="C721" s="16"/>
      <c r="D721" s="16"/>
    </row>
    <row r="722" customFormat="false" ht="15.75" hidden="false" customHeight="false" outlineLevel="0" collapsed="false">
      <c r="C722" s="16"/>
      <c r="D722" s="16"/>
    </row>
    <row r="723" customFormat="false" ht="15.75" hidden="false" customHeight="false" outlineLevel="0" collapsed="false">
      <c r="C723" s="16"/>
      <c r="D723" s="16"/>
    </row>
    <row r="724" customFormat="false" ht="15.75" hidden="false" customHeight="false" outlineLevel="0" collapsed="false">
      <c r="C724" s="16"/>
      <c r="D724" s="16"/>
    </row>
    <row r="725" customFormat="false" ht="15.75" hidden="false" customHeight="false" outlineLevel="0" collapsed="false">
      <c r="C725" s="16"/>
      <c r="D725" s="16"/>
    </row>
    <row r="726" customFormat="false" ht="15.75" hidden="false" customHeight="false" outlineLevel="0" collapsed="false">
      <c r="C726" s="16"/>
      <c r="D726" s="16"/>
    </row>
    <row r="727" customFormat="false" ht="15.75" hidden="false" customHeight="false" outlineLevel="0" collapsed="false">
      <c r="C727" s="16"/>
      <c r="D727" s="16"/>
    </row>
    <row r="728" customFormat="false" ht="15.75" hidden="false" customHeight="false" outlineLevel="0" collapsed="false">
      <c r="C728" s="16"/>
      <c r="D728" s="16"/>
    </row>
    <row r="729" customFormat="false" ht="15.75" hidden="false" customHeight="false" outlineLevel="0" collapsed="false">
      <c r="C729" s="16"/>
      <c r="D729" s="16"/>
    </row>
    <row r="730" customFormat="false" ht="15.75" hidden="false" customHeight="false" outlineLevel="0" collapsed="false">
      <c r="C730" s="16"/>
      <c r="D730" s="16"/>
    </row>
    <row r="731" customFormat="false" ht="15.75" hidden="false" customHeight="false" outlineLevel="0" collapsed="false">
      <c r="C731" s="16"/>
      <c r="D731" s="16"/>
    </row>
    <row r="732" customFormat="false" ht="15.75" hidden="false" customHeight="false" outlineLevel="0" collapsed="false">
      <c r="C732" s="16"/>
      <c r="D732" s="16"/>
    </row>
    <row r="733" customFormat="false" ht="15.75" hidden="false" customHeight="false" outlineLevel="0" collapsed="false">
      <c r="C733" s="16"/>
      <c r="D733" s="16"/>
    </row>
    <row r="734" customFormat="false" ht="15.75" hidden="false" customHeight="false" outlineLevel="0" collapsed="false">
      <c r="C734" s="16"/>
      <c r="D734" s="16"/>
    </row>
    <row r="735" customFormat="false" ht="15.75" hidden="false" customHeight="false" outlineLevel="0" collapsed="false">
      <c r="C735" s="16"/>
      <c r="D735" s="16"/>
    </row>
    <row r="736" customFormat="false" ht="15.75" hidden="false" customHeight="false" outlineLevel="0" collapsed="false">
      <c r="C736" s="16"/>
      <c r="D736" s="16"/>
    </row>
    <row r="737" customFormat="false" ht="15.75" hidden="false" customHeight="false" outlineLevel="0" collapsed="false">
      <c r="C737" s="16"/>
      <c r="D737" s="16"/>
    </row>
    <row r="738" customFormat="false" ht="15.75" hidden="false" customHeight="false" outlineLevel="0" collapsed="false">
      <c r="C738" s="16"/>
      <c r="D738" s="16"/>
    </row>
    <row r="739" customFormat="false" ht="15.75" hidden="false" customHeight="false" outlineLevel="0" collapsed="false">
      <c r="C739" s="16"/>
      <c r="D739" s="16"/>
    </row>
    <row r="740" customFormat="false" ht="15.75" hidden="false" customHeight="false" outlineLevel="0" collapsed="false">
      <c r="C740" s="16"/>
      <c r="D740" s="16"/>
    </row>
    <row r="741" customFormat="false" ht="15.75" hidden="false" customHeight="false" outlineLevel="0" collapsed="false">
      <c r="C741" s="16"/>
      <c r="D741" s="16"/>
    </row>
    <row r="742" customFormat="false" ht="15.75" hidden="false" customHeight="false" outlineLevel="0" collapsed="false">
      <c r="C742" s="16"/>
      <c r="D742" s="16"/>
    </row>
    <row r="743" customFormat="false" ht="15.75" hidden="false" customHeight="false" outlineLevel="0" collapsed="false">
      <c r="C743" s="16"/>
      <c r="D743" s="16"/>
    </row>
    <row r="744" customFormat="false" ht="15.75" hidden="false" customHeight="false" outlineLevel="0" collapsed="false">
      <c r="C744" s="16"/>
      <c r="D744" s="16"/>
    </row>
    <row r="745" customFormat="false" ht="15.75" hidden="false" customHeight="false" outlineLevel="0" collapsed="false">
      <c r="C745" s="16"/>
      <c r="D745" s="16"/>
    </row>
    <row r="746" customFormat="false" ht="15.75" hidden="false" customHeight="false" outlineLevel="0" collapsed="false">
      <c r="C746" s="16"/>
      <c r="D746" s="16"/>
    </row>
    <row r="747" customFormat="false" ht="15.75" hidden="false" customHeight="false" outlineLevel="0" collapsed="false">
      <c r="C747" s="16"/>
      <c r="D747" s="16"/>
    </row>
    <row r="748" customFormat="false" ht="15.75" hidden="false" customHeight="false" outlineLevel="0" collapsed="false">
      <c r="C748" s="16"/>
      <c r="D748" s="16"/>
    </row>
    <row r="749" customFormat="false" ht="15.75" hidden="false" customHeight="false" outlineLevel="0" collapsed="false">
      <c r="C749" s="16"/>
      <c r="D749" s="16"/>
    </row>
    <row r="750" customFormat="false" ht="15.75" hidden="false" customHeight="false" outlineLevel="0" collapsed="false">
      <c r="C750" s="16"/>
      <c r="D750" s="16"/>
    </row>
    <row r="751" customFormat="false" ht="15.75" hidden="false" customHeight="false" outlineLevel="0" collapsed="false">
      <c r="C751" s="16"/>
      <c r="D751" s="16"/>
    </row>
    <row r="752" customFormat="false" ht="15.75" hidden="false" customHeight="false" outlineLevel="0" collapsed="false">
      <c r="C752" s="16"/>
      <c r="D752" s="16"/>
    </row>
    <row r="753" customFormat="false" ht="15.75" hidden="false" customHeight="false" outlineLevel="0" collapsed="false">
      <c r="C753" s="16"/>
      <c r="D753" s="16"/>
    </row>
    <row r="754" customFormat="false" ht="15.75" hidden="false" customHeight="false" outlineLevel="0" collapsed="false">
      <c r="C754" s="16"/>
      <c r="D754" s="16"/>
    </row>
    <row r="755" customFormat="false" ht="15.75" hidden="false" customHeight="false" outlineLevel="0" collapsed="false">
      <c r="C755" s="16"/>
      <c r="D755" s="16"/>
    </row>
    <row r="756" customFormat="false" ht="15.75" hidden="false" customHeight="false" outlineLevel="0" collapsed="false">
      <c r="C756" s="16"/>
      <c r="D756" s="16"/>
    </row>
    <row r="757" customFormat="false" ht="15.75" hidden="false" customHeight="false" outlineLevel="0" collapsed="false">
      <c r="C757" s="16"/>
      <c r="D757" s="16"/>
    </row>
    <row r="758" customFormat="false" ht="15.75" hidden="false" customHeight="false" outlineLevel="0" collapsed="false">
      <c r="C758" s="16"/>
      <c r="D758" s="16"/>
    </row>
    <row r="759" customFormat="false" ht="15.75" hidden="false" customHeight="false" outlineLevel="0" collapsed="false">
      <c r="C759" s="16"/>
      <c r="D759" s="16"/>
    </row>
    <row r="760" customFormat="false" ht="15.75" hidden="false" customHeight="false" outlineLevel="0" collapsed="false">
      <c r="C760" s="16"/>
      <c r="D760" s="16"/>
    </row>
    <row r="761" customFormat="false" ht="15.75" hidden="false" customHeight="false" outlineLevel="0" collapsed="false">
      <c r="C761" s="16"/>
      <c r="D761" s="16"/>
    </row>
    <row r="762" customFormat="false" ht="15.75" hidden="false" customHeight="false" outlineLevel="0" collapsed="false">
      <c r="C762" s="16"/>
      <c r="D762" s="16"/>
    </row>
    <row r="763" customFormat="false" ht="15.75" hidden="false" customHeight="false" outlineLevel="0" collapsed="false">
      <c r="C763" s="16"/>
      <c r="D763" s="16"/>
    </row>
    <row r="764" customFormat="false" ht="15.75" hidden="false" customHeight="false" outlineLevel="0" collapsed="false">
      <c r="C764" s="16"/>
      <c r="D764" s="16"/>
    </row>
    <row r="765" customFormat="false" ht="15.75" hidden="false" customHeight="false" outlineLevel="0" collapsed="false">
      <c r="C765" s="16"/>
      <c r="D765" s="16"/>
    </row>
    <row r="766" customFormat="false" ht="15.75" hidden="false" customHeight="false" outlineLevel="0" collapsed="false">
      <c r="C766" s="16"/>
      <c r="D766" s="16"/>
    </row>
    <row r="767" customFormat="false" ht="15.75" hidden="false" customHeight="false" outlineLevel="0" collapsed="false">
      <c r="C767" s="16"/>
      <c r="D767" s="16"/>
    </row>
    <row r="768" customFormat="false" ht="15.75" hidden="false" customHeight="false" outlineLevel="0" collapsed="false">
      <c r="C768" s="16"/>
      <c r="D768" s="16"/>
    </row>
    <row r="769" customFormat="false" ht="15.75" hidden="false" customHeight="false" outlineLevel="0" collapsed="false">
      <c r="C769" s="16"/>
      <c r="D769" s="16"/>
    </row>
    <row r="770" customFormat="false" ht="15.75" hidden="false" customHeight="false" outlineLevel="0" collapsed="false">
      <c r="C770" s="16"/>
      <c r="D770" s="16"/>
    </row>
    <row r="771" customFormat="false" ht="15.75" hidden="false" customHeight="false" outlineLevel="0" collapsed="false">
      <c r="C771" s="16"/>
      <c r="D771" s="16"/>
    </row>
    <row r="772" customFormat="false" ht="15.75" hidden="false" customHeight="false" outlineLevel="0" collapsed="false">
      <c r="C772" s="16"/>
      <c r="D772" s="16"/>
    </row>
    <row r="773" customFormat="false" ht="15.75" hidden="false" customHeight="false" outlineLevel="0" collapsed="false">
      <c r="C773" s="16"/>
      <c r="D773" s="16"/>
    </row>
    <row r="774" customFormat="false" ht="15.75" hidden="false" customHeight="false" outlineLevel="0" collapsed="false">
      <c r="C774" s="16"/>
      <c r="D774" s="16"/>
    </row>
    <row r="775" customFormat="false" ht="15.75" hidden="false" customHeight="false" outlineLevel="0" collapsed="false">
      <c r="C775" s="16"/>
      <c r="D775" s="16"/>
    </row>
    <row r="776" customFormat="false" ht="15.75" hidden="false" customHeight="false" outlineLevel="0" collapsed="false">
      <c r="C776" s="16"/>
      <c r="D776" s="16"/>
    </row>
    <row r="777" customFormat="false" ht="15.75" hidden="false" customHeight="false" outlineLevel="0" collapsed="false">
      <c r="C777" s="16"/>
      <c r="D777" s="16"/>
    </row>
    <row r="778" customFormat="false" ht="15.75" hidden="false" customHeight="false" outlineLevel="0" collapsed="false">
      <c r="C778" s="16"/>
      <c r="D778" s="16"/>
    </row>
    <row r="779" customFormat="false" ht="15.75" hidden="false" customHeight="false" outlineLevel="0" collapsed="false">
      <c r="C779" s="16"/>
      <c r="D779" s="16"/>
    </row>
    <row r="780" customFormat="false" ht="15.75" hidden="false" customHeight="false" outlineLevel="0" collapsed="false">
      <c r="C780" s="16"/>
      <c r="D780" s="16"/>
    </row>
    <row r="781" customFormat="false" ht="15.75" hidden="false" customHeight="false" outlineLevel="0" collapsed="false">
      <c r="C781" s="16"/>
      <c r="D781" s="16"/>
    </row>
    <row r="782" customFormat="false" ht="15.75" hidden="false" customHeight="false" outlineLevel="0" collapsed="false">
      <c r="C782" s="16"/>
      <c r="D782" s="16"/>
    </row>
    <row r="783" customFormat="false" ht="15.75" hidden="false" customHeight="false" outlineLevel="0" collapsed="false">
      <c r="C783" s="16"/>
      <c r="D783" s="16"/>
    </row>
    <row r="784" customFormat="false" ht="15.75" hidden="false" customHeight="false" outlineLevel="0" collapsed="false">
      <c r="C784" s="16"/>
      <c r="D784" s="16"/>
    </row>
    <row r="785" customFormat="false" ht="15.75" hidden="false" customHeight="false" outlineLevel="0" collapsed="false">
      <c r="C785" s="16"/>
      <c r="D785" s="16"/>
    </row>
    <row r="786" customFormat="false" ht="15.75" hidden="false" customHeight="false" outlineLevel="0" collapsed="false">
      <c r="C786" s="16"/>
      <c r="D786" s="16"/>
    </row>
    <row r="787" customFormat="false" ht="15.75" hidden="false" customHeight="false" outlineLevel="0" collapsed="false">
      <c r="C787" s="16"/>
      <c r="D787" s="16"/>
    </row>
    <row r="788" customFormat="false" ht="15.75" hidden="false" customHeight="false" outlineLevel="0" collapsed="false">
      <c r="C788" s="16"/>
      <c r="D788" s="16"/>
    </row>
    <row r="789" customFormat="false" ht="15.75" hidden="false" customHeight="false" outlineLevel="0" collapsed="false">
      <c r="C789" s="16"/>
      <c r="D789" s="16"/>
    </row>
    <row r="790" customFormat="false" ht="15.75" hidden="false" customHeight="false" outlineLevel="0" collapsed="false">
      <c r="C790" s="16"/>
      <c r="D790" s="16"/>
    </row>
    <row r="791" customFormat="false" ht="15.75" hidden="false" customHeight="false" outlineLevel="0" collapsed="false">
      <c r="C791" s="16"/>
      <c r="D791" s="16"/>
    </row>
    <row r="792" customFormat="false" ht="15.75" hidden="false" customHeight="false" outlineLevel="0" collapsed="false">
      <c r="C792" s="16"/>
      <c r="D792" s="16"/>
    </row>
    <row r="793" customFormat="false" ht="15.75" hidden="false" customHeight="false" outlineLevel="0" collapsed="false">
      <c r="C793" s="16"/>
      <c r="D793" s="16"/>
    </row>
    <row r="794" customFormat="false" ht="15.75" hidden="false" customHeight="false" outlineLevel="0" collapsed="false">
      <c r="C794" s="16"/>
      <c r="D794" s="16"/>
    </row>
    <row r="795" customFormat="false" ht="15.75" hidden="false" customHeight="false" outlineLevel="0" collapsed="false">
      <c r="C795" s="16"/>
      <c r="D795" s="16"/>
    </row>
    <row r="796" customFormat="false" ht="15.75" hidden="false" customHeight="false" outlineLevel="0" collapsed="false">
      <c r="C796" s="16"/>
      <c r="D796" s="16"/>
    </row>
    <row r="797" customFormat="false" ht="15.75" hidden="false" customHeight="false" outlineLevel="0" collapsed="false">
      <c r="C797" s="16"/>
      <c r="D797" s="16"/>
    </row>
    <row r="798" customFormat="false" ht="15.75" hidden="false" customHeight="false" outlineLevel="0" collapsed="false">
      <c r="C798" s="16"/>
      <c r="D798" s="16"/>
    </row>
    <row r="799" customFormat="false" ht="15.75" hidden="false" customHeight="false" outlineLevel="0" collapsed="false">
      <c r="C799" s="16"/>
      <c r="D799" s="16"/>
    </row>
    <row r="800" customFormat="false" ht="15.75" hidden="false" customHeight="false" outlineLevel="0" collapsed="false">
      <c r="C800" s="16"/>
      <c r="D800" s="16"/>
    </row>
    <row r="801" customFormat="false" ht="15.75" hidden="false" customHeight="false" outlineLevel="0" collapsed="false">
      <c r="C801" s="16"/>
      <c r="D801" s="16"/>
    </row>
    <row r="802" customFormat="false" ht="15.75" hidden="false" customHeight="false" outlineLevel="0" collapsed="false">
      <c r="C802" s="16"/>
      <c r="D802" s="16"/>
    </row>
    <row r="803" customFormat="false" ht="15.75" hidden="false" customHeight="false" outlineLevel="0" collapsed="false">
      <c r="C803" s="16"/>
      <c r="D803" s="16"/>
    </row>
    <row r="804" customFormat="false" ht="15.75" hidden="false" customHeight="false" outlineLevel="0" collapsed="false">
      <c r="C804" s="16"/>
      <c r="D804" s="16"/>
    </row>
    <row r="805" customFormat="false" ht="15.75" hidden="false" customHeight="false" outlineLevel="0" collapsed="false">
      <c r="C805" s="16"/>
      <c r="D805" s="16"/>
    </row>
    <row r="806" customFormat="false" ht="15.75" hidden="false" customHeight="false" outlineLevel="0" collapsed="false">
      <c r="C806" s="16"/>
      <c r="D806" s="16"/>
    </row>
    <row r="807" customFormat="false" ht="15.75" hidden="false" customHeight="false" outlineLevel="0" collapsed="false">
      <c r="C807" s="16"/>
      <c r="D807" s="16"/>
    </row>
    <row r="808" customFormat="false" ht="15.75" hidden="false" customHeight="false" outlineLevel="0" collapsed="false">
      <c r="C808" s="16"/>
      <c r="D808" s="16"/>
    </row>
    <row r="809" customFormat="false" ht="15.75" hidden="false" customHeight="false" outlineLevel="0" collapsed="false">
      <c r="C809" s="16"/>
      <c r="D809" s="16"/>
    </row>
    <row r="810" customFormat="false" ht="15.75" hidden="false" customHeight="false" outlineLevel="0" collapsed="false">
      <c r="C810" s="16"/>
      <c r="D810" s="16"/>
    </row>
    <row r="811" customFormat="false" ht="15.75" hidden="false" customHeight="false" outlineLevel="0" collapsed="false">
      <c r="C811" s="16"/>
      <c r="D811" s="16"/>
    </row>
    <row r="812" customFormat="false" ht="15.75" hidden="false" customHeight="false" outlineLevel="0" collapsed="false">
      <c r="C812" s="16"/>
      <c r="D812" s="16"/>
    </row>
    <row r="813" customFormat="false" ht="15.75" hidden="false" customHeight="false" outlineLevel="0" collapsed="false">
      <c r="C813" s="16"/>
      <c r="D813" s="16"/>
    </row>
    <row r="814" customFormat="false" ht="15.75" hidden="false" customHeight="false" outlineLevel="0" collapsed="false">
      <c r="C814" s="16"/>
      <c r="D814" s="16"/>
    </row>
    <row r="815" customFormat="false" ht="15.75" hidden="false" customHeight="false" outlineLevel="0" collapsed="false">
      <c r="C815" s="16"/>
      <c r="D815" s="16"/>
    </row>
    <row r="816" customFormat="false" ht="15.75" hidden="false" customHeight="false" outlineLevel="0" collapsed="false">
      <c r="C816" s="16"/>
      <c r="D816" s="16"/>
    </row>
    <row r="817" customFormat="false" ht="15.75" hidden="false" customHeight="false" outlineLevel="0" collapsed="false">
      <c r="C817" s="16"/>
      <c r="D817" s="16"/>
    </row>
    <row r="818" customFormat="false" ht="15.75" hidden="false" customHeight="false" outlineLevel="0" collapsed="false">
      <c r="C818" s="16"/>
      <c r="D818" s="16"/>
    </row>
    <row r="819" customFormat="false" ht="15.75" hidden="false" customHeight="false" outlineLevel="0" collapsed="false">
      <c r="C819" s="16"/>
      <c r="D819" s="16"/>
    </row>
    <row r="820" customFormat="false" ht="15.75" hidden="false" customHeight="false" outlineLevel="0" collapsed="false">
      <c r="C820" s="16"/>
      <c r="D820" s="16"/>
    </row>
    <row r="821" customFormat="false" ht="15.75" hidden="false" customHeight="false" outlineLevel="0" collapsed="false">
      <c r="C821" s="16"/>
      <c r="D821" s="16"/>
    </row>
    <row r="822" customFormat="false" ht="15.75" hidden="false" customHeight="false" outlineLevel="0" collapsed="false">
      <c r="C822" s="16"/>
      <c r="D822" s="16"/>
    </row>
    <row r="823" customFormat="false" ht="15.75" hidden="false" customHeight="false" outlineLevel="0" collapsed="false">
      <c r="C823" s="16"/>
      <c r="D823" s="16"/>
    </row>
    <row r="824" customFormat="false" ht="15.75" hidden="false" customHeight="false" outlineLevel="0" collapsed="false">
      <c r="C824" s="16"/>
      <c r="D824" s="16"/>
    </row>
    <row r="825" customFormat="false" ht="15.75" hidden="false" customHeight="false" outlineLevel="0" collapsed="false">
      <c r="C825" s="16"/>
      <c r="D825" s="16"/>
    </row>
    <row r="826" customFormat="false" ht="15.75" hidden="false" customHeight="false" outlineLevel="0" collapsed="false">
      <c r="C826" s="16"/>
      <c r="D826" s="16"/>
    </row>
    <row r="827" customFormat="false" ht="15.75" hidden="false" customHeight="false" outlineLevel="0" collapsed="false">
      <c r="C827" s="16"/>
      <c r="D827" s="16"/>
    </row>
    <row r="828" customFormat="false" ht="15.75" hidden="false" customHeight="false" outlineLevel="0" collapsed="false">
      <c r="C828" s="16"/>
      <c r="D828" s="16"/>
    </row>
    <row r="829" customFormat="false" ht="15.75" hidden="false" customHeight="false" outlineLevel="0" collapsed="false">
      <c r="C829" s="16"/>
      <c r="D829" s="16"/>
    </row>
    <row r="830" customFormat="false" ht="15.75" hidden="false" customHeight="false" outlineLevel="0" collapsed="false">
      <c r="C830" s="16"/>
      <c r="D830" s="16"/>
    </row>
    <row r="831" customFormat="false" ht="15.75" hidden="false" customHeight="false" outlineLevel="0" collapsed="false">
      <c r="C831" s="16"/>
      <c r="D831" s="16"/>
    </row>
    <row r="832" customFormat="false" ht="15.75" hidden="false" customHeight="false" outlineLevel="0" collapsed="false">
      <c r="C832" s="16"/>
      <c r="D832" s="16"/>
    </row>
    <row r="833" customFormat="false" ht="15.75" hidden="false" customHeight="false" outlineLevel="0" collapsed="false">
      <c r="C833" s="16"/>
      <c r="D833" s="16"/>
    </row>
    <row r="834" customFormat="false" ht="15.75" hidden="false" customHeight="false" outlineLevel="0" collapsed="false">
      <c r="C834" s="16"/>
      <c r="D834" s="16"/>
    </row>
    <row r="835" customFormat="false" ht="15.75" hidden="false" customHeight="false" outlineLevel="0" collapsed="false">
      <c r="C835" s="16"/>
      <c r="D835" s="16"/>
    </row>
    <row r="836" customFormat="false" ht="15.75" hidden="false" customHeight="false" outlineLevel="0" collapsed="false">
      <c r="C836" s="16"/>
      <c r="D836" s="16"/>
    </row>
    <row r="837" customFormat="false" ht="15.75" hidden="false" customHeight="false" outlineLevel="0" collapsed="false">
      <c r="C837" s="16"/>
      <c r="D837" s="16"/>
    </row>
    <row r="838" customFormat="false" ht="15.75" hidden="false" customHeight="false" outlineLevel="0" collapsed="false">
      <c r="C838" s="16"/>
      <c r="D838" s="16"/>
    </row>
    <row r="839" customFormat="false" ht="15.75" hidden="false" customHeight="false" outlineLevel="0" collapsed="false">
      <c r="C839" s="16"/>
      <c r="D839" s="16"/>
    </row>
    <row r="840" customFormat="false" ht="15.75" hidden="false" customHeight="false" outlineLevel="0" collapsed="false">
      <c r="C840" s="16"/>
      <c r="D840" s="16"/>
    </row>
    <row r="841" customFormat="false" ht="15.75" hidden="false" customHeight="false" outlineLevel="0" collapsed="false">
      <c r="C841" s="16"/>
      <c r="D841" s="16"/>
    </row>
    <row r="842" customFormat="false" ht="15.75" hidden="false" customHeight="false" outlineLevel="0" collapsed="false">
      <c r="C842" s="16"/>
      <c r="D842" s="16"/>
    </row>
    <row r="843" customFormat="false" ht="15.75" hidden="false" customHeight="false" outlineLevel="0" collapsed="false">
      <c r="C843" s="16"/>
      <c r="D843" s="16"/>
    </row>
    <row r="844" customFormat="false" ht="15.75" hidden="false" customHeight="false" outlineLevel="0" collapsed="false">
      <c r="C844" s="16"/>
      <c r="D844" s="16"/>
    </row>
    <row r="845" customFormat="false" ht="15.75" hidden="false" customHeight="false" outlineLevel="0" collapsed="false">
      <c r="C845" s="16"/>
      <c r="D845" s="16"/>
    </row>
    <row r="846" customFormat="false" ht="15.75" hidden="false" customHeight="false" outlineLevel="0" collapsed="false">
      <c r="C846" s="16"/>
      <c r="D846" s="16"/>
    </row>
    <row r="847" customFormat="false" ht="15.75" hidden="false" customHeight="false" outlineLevel="0" collapsed="false">
      <c r="C847" s="16"/>
      <c r="D847" s="16"/>
    </row>
    <row r="848" customFormat="false" ht="15.75" hidden="false" customHeight="false" outlineLevel="0" collapsed="false">
      <c r="C848" s="16"/>
      <c r="D848" s="16"/>
    </row>
    <row r="849" customFormat="false" ht="15.75" hidden="false" customHeight="false" outlineLevel="0" collapsed="false">
      <c r="C849" s="16"/>
      <c r="D849" s="16"/>
    </row>
    <row r="850" customFormat="false" ht="15.75" hidden="false" customHeight="false" outlineLevel="0" collapsed="false">
      <c r="C850" s="16"/>
      <c r="D850" s="16"/>
    </row>
    <row r="851" customFormat="false" ht="15.75" hidden="false" customHeight="false" outlineLevel="0" collapsed="false">
      <c r="C851" s="16"/>
      <c r="D851" s="16"/>
    </row>
    <row r="852" customFormat="false" ht="15.75" hidden="false" customHeight="false" outlineLevel="0" collapsed="false">
      <c r="C852" s="16"/>
      <c r="D852" s="16"/>
    </row>
    <row r="853" customFormat="false" ht="15.75" hidden="false" customHeight="false" outlineLevel="0" collapsed="false">
      <c r="C853" s="16"/>
      <c r="D853" s="16"/>
    </row>
    <row r="854" customFormat="false" ht="15.75" hidden="false" customHeight="false" outlineLevel="0" collapsed="false">
      <c r="C854" s="16"/>
      <c r="D854" s="16"/>
    </row>
    <row r="855" customFormat="false" ht="15.75" hidden="false" customHeight="false" outlineLevel="0" collapsed="false">
      <c r="C855" s="16"/>
      <c r="D855" s="16"/>
    </row>
    <row r="856" customFormat="false" ht="15.75" hidden="false" customHeight="false" outlineLevel="0" collapsed="false">
      <c r="C856" s="16"/>
      <c r="D856" s="16"/>
    </row>
    <row r="857" customFormat="false" ht="15.75" hidden="false" customHeight="false" outlineLevel="0" collapsed="false">
      <c r="C857" s="16"/>
      <c r="D857" s="16"/>
    </row>
    <row r="858" customFormat="false" ht="15.75" hidden="false" customHeight="false" outlineLevel="0" collapsed="false">
      <c r="C858" s="16"/>
      <c r="D858" s="16"/>
    </row>
    <row r="859" customFormat="false" ht="15.75" hidden="false" customHeight="false" outlineLevel="0" collapsed="false">
      <c r="C859" s="16"/>
      <c r="D859" s="16"/>
    </row>
    <row r="860" customFormat="false" ht="15.75" hidden="false" customHeight="false" outlineLevel="0" collapsed="false">
      <c r="C860" s="16"/>
      <c r="D860" s="16"/>
    </row>
    <row r="861" customFormat="false" ht="15.75" hidden="false" customHeight="false" outlineLevel="0" collapsed="false">
      <c r="C861" s="16"/>
      <c r="D861" s="16"/>
    </row>
    <row r="862" customFormat="false" ht="15.75" hidden="false" customHeight="false" outlineLevel="0" collapsed="false">
      <c r="C862" s="16"/>
      <c r="D862" s="16"/>
    </row>
    <row r="863" customFormat="false" ht="15.75" hidden="false" customHeight="false" outlineLevel="0" collapsed="false">
      <c r="C863" s="16"/>
      <c r="D863" s="16"/>
    </row>
    <row r="864" customFormat="false" ht="15.75" hidden="false" customHeight="false" outlineLevel="0" collapsed="false">
      <c r="C864" s="16"/>
      <c r="D864" s="16"/>
    </row>
    <row r="865" customFormat="false" ht="15.75" hidden="false" customHeight="false" outlineLevel="0" collapsed="false">
      <c r="C865" s="16"/>
      <c r="D865" s="16"/>
    </row>
    <row r="866" customFormat="false" ht="15.75" hidden="false" customHeight="false" outlineLevel="0" collapsed="false">
      <c r="C866" s="16"/>
      <c r="D866" s="16"/>
    </row>
    <row r="867" customFormat="false" ht="15.75" hidden="false" customHeight="false" outlineLevel="0" collapsed="false">
      <c r="C867" s="16"/>
      <c r="D867" s="16"/>
    </row>
    <row r="868" customFormat="false" ht="15.75" hidden="false" customHeight="false" outlineLevel="0" collapsed="false">
      <c r="C868" s="16"/>
      <c r="D868" s="16"/>
    </row>
    <row r="869" customFormat="false" ht="15.75" hidden="false" customHeight="false" outlineLevel="0" collapsed="false">
      <c r="C869" s="16"/>
      <c r="D869" s="16"/>
    </row>
    <row r="870" customFormat="false" ht="15.75" hidden="false" customHeight="false" outlineLevel="0" collapsed="false">
      <c r="C870" s="16"/>
      <c r="D870" s="16"/>
    </row>
    <row r="871" customFormat="false" ht="15.75" hidden="false" customHeight="false" outlineLevel="0" collapsed="false">
      <c r="C871" s="16"/>
      <c r="D871" s="16"/>
    </row>
    <row r="872" customFormat="false" ht="15.75" hidden="false" customHeight="false" outlineLevel="0" collapsed="false">
      <c r="C872" s="16"/>
      <c r="D872" s="16"/>
    </row>
    <row r="873" customFormat="false" ht="15.75" hidden="false" customHeight="false" outlineLevel="0" collapsed="false">
      <c r="C873" s="16"/>
      <c r="D873" s="16"/>
    </row>
    <row r="874" customFormat="false" ht="15.75" hidden="false" customHeight="false" outlineLevel="0" collapsed="false">
      <c r="C874" s="16"/>
      <c r="D874" s="16"/>
    </row>
    <row r="875" customFormat="false" ht="15.75" hidden="false" customHeight="false" outlineLevel="0" collapsed="false">
      <c r="C875" s="16"/>
      <c r="D875" s="16"/>
    </row>
    <row r="876" customFormat="false" ht="15.75" hidden="false" customHeight="false" outlineLevel="0" collapsed="false">
      <c r="C876" s="16"/>
      <c r="D876" s="16"/>
    </row>
    <row r="877" customFormat="false" ht="15.75" hidden="false" customHeight="false" outlineLevel="0" collapsed="false">
      <c r="C877" s="16"/>
      <c r="D877" s="16"/>
    </row>
    <row r="878" customFormat="false" ht="15.75" hidden="false" customHeight="false" outlineLevel="0" collapsed="false">
      <c r="C878" s="16"/>
      <c r="D878" s="16"/>
    </row>
    <row r="879" customFormat="false" ht="15.75" hidden="false" customHeight="false" outlineLevel="0" collapsed="false">
      <c r="C879" s="16"/>
      <c r="D879" s="16"/>
    </row>
    <row r="880" customFormat="false" ht="15.75" hidden="false" customHeight="false" outlineLevel="0" collapsed="false">
      <c r="C880" s="16"/>
      <c r="D880" s="16"/>
    </row>
    <row r="881" customFormat="false" ht="15.75" hidden="false" customHeight="false" outlineLevel="0" collapsed="false">
      <c r="C881" s="16"/>
      <c r="D881" s="16"/>
    </row>
    <row r="882" customFormat="false" ht="15.75" hidden="false" customHeight="false" outlineLevel="0" collapsed="false">
      <c r="C882" s="16"/>
      <c r="D882" s="16"/>
    </row>
    <row r="883" customFormat="false" ht="15.75" hidden="false" customHeight="false" outlineLevel="0" collapsed="false">
      <c r="C883" s="16"/>
      <c r="D883" s="16"/>
    </row>
    <row r="884" customFormat="false" ht="15.75" hidden="false" customHeight="false" outlineLevel="0" collapsed="false">
      <c r="C884" s="16"/>
      <c r="D884" s="16"/>
    </row>
    <row r="885" customFormat="false" ht="15.75" hidden="false" customHeight="false" outlineLevel="0" collapsed="false">
      <c r="C885" s="16"/>
      <c r="D885" s="16"/>
    </row>
    <row r="886" customFormat="false" ht="15.75" hidden="false" customHeight="false" outlineLevel="0" collapsed="false">
      <c r="C886" s="16"/>
      <c r="D886" s="16"/>
    </row>
    <row r="887" customFormat="false" ht="15.75" hidden="false" customHeight="false" outlineLevel="0" collapsed="false">
      <c r="C887" s="16"/>
      <c r="D887" s="16"/>
    </row>
    <row r="888" customFormat="false" ht="15.75" hidden="false" customHeight="false" outlineLevel="0" collapsed="false">
      <c r="C888" s="16"/>
      <c r="D888" s="16"/>
    </row>
    <row r="889" customFormat="false" ht="15.75" hidden="false" customHeight="false" outlineLevel="0" collapsed="false">
      <c r="C889" s="16"/>
      <c r="D889" s="16"/>
    </row>
    <row r="890" customFormat="false" ht="15.75" hidden="false" customHeight="false" outlineLevel="0" collapsed="false">
      <c r="C890" s="16"/>
      <c r="D890" s="16"/>
    </row>
    <row r="891" customFormat="false" ht="15.75" hidden="false" customHeight="false" outlineLevel="0" collapsed="false">
      <c r="C891" s="16"/>
      <c r="D891" s="16"/>
    </row>
    <row r="892" customFormat="false" ht="15.75" hidden="false" customHeight="false" outlineLevel="0" collapsed="false">
      <c r="C892" s="16"/>
      <c r="D892" s="16"/>
    </row>
    <row r="893" customFormat="false" ht="15.75" hidden="false" customHeight="false" outlineLevel="0" collapsed="false">
      <c r="C893" s="16"/>
      <c r="D893" s="16"/>
    </row>
    <row r="894" customFormat="false" ht="15.75" hidden="false" customHeight="false" outlineLevel="0" collapsed="false">
      <c r="C894" s="16"/>
      <c r="D894" s="16"/>
    </row>
    <row r="895" customFormat="false" ht="15.75" hidden="false" customHeight="false" outlineLevel="0" collapsed="false">
      <c r="C895" s="16"/>
      <c r="D895" s="16"/>
    </row>
    <row r="896" customFormat="false" ht="15.75" hidden="false" customHeight="false" outlineLevel="0" collapsed="false">
      <c r="C896" s="16"/>
      <c r="D896" s="16"/>
    </row>
    <row r="897" customFormat="false" ht="15.75" hidden="false" customHeight="false" outlineLevel="0" collapsed="false">
      <c r="C897" s="16"/>
      <c r="D897" s="16"/>
    </row>
    <row r="898" customFormat="false" ht="15.75" hidden="false" customHeight="false" outlineLevel="0" collapsed="false">
      <c r="C898" s="16"/>
      <c r="D898" s="16"/>
    </row>
    <row r="899" customFormat="false" ht="15.75" hidden="false" customHeight="false" outlineLevel="0" collapsed="false">
      <c r="C899" s="16"/>
      <c r="D899" s="16"/>
    </row>
    <row r="900" customFormat="false" ht="15.75" hidden="false" customHeight="false" outlineLevel="0" collapsed="false">
      <c r="C900" s="16"/>
      <c r="D900" s="16"/>
    </row>
    <row r="901" customFormat="false" ht="15.75" hidden="false" customHeight="false" outlineLevel="0" collapsed="false">
      <c r="C901" s="16"/>
      <c r="D901" s="16"/>
    </row>
    <row r="902" customFormat="false" ht="15.75" hidden="false" customHeight="false" outlineLevel="0" collapsed="false">
      <c r="C902" s="16"/>
      <c r="D902" s="16"/>
    </row>
    <row r="903" customFormat="false" ht="15.75" hidden="false" customHeight="false" outlineLevel="0" collapsed="false">
      <c r="C903" s="16"/>
      <c r="D903" s="16"/>
    </row>
    <row r="904" customFormat="false" ht="15.75" hidden="false" customHeight="false" outlineLevel="0" collapsed="false">
      <c r="C904" s="16"/>
      <c r="D904" s="16"/>
    </row>
    <row r="905" customFormat="false" ht="15.75" hidden="false" customHeight="false" outlineLevel="0" collapsed="false">
      <c r="C905" s="16"/>
      <c r="D905" s="16"/>
    </row>
    <row r="906" customFormat="false" ht="15.75" hidden="false" customHeight="false" outlineLevel="0" collapsed="false">
      <c r="C906" s="16"/>
      <c r="D906" s="16"/>
    </row>
    <row r="907" customFormat="false" ht="15.75" hidden="false" customHeight="false" outlineLevel="0" collapsed="false">
      <c r="C907" s="16"/>
      <c r="D907" s="16"/>
    </row>
    <row r="908" customFormat="false" ht="15.75" hidden="false" customHeight="false" outlineLevel="0" collapsed="false">
      <c r="C908" s="16"/>
      <c r="D908" s="16"/>
    </row>
    <row r="909" customFormat="false" ht="15.75" hidden="false" customHeight="false" outlineLevel="0" collapsed="false">
      <c r="C909" s="16"/>
      <c r="D909" s="16"/>
    </row>
    <row r="910" customFormat="false" ht="15.75" hidden="false" customHeight="false" outlineLevel="0" collapsed="false">
      <c r="C910" s="16"/>
      <c r="D910" s="16"/>
    </row>
    <row r="911" customFormat="false" ht="15.75" hidden="false" customHeight="false" outlineLevel="0" collapsed="false">
      <c r="C911" s="16"/>
      <c r="D911" s="16"/>
    </row>
    <row r="912" customFormat="false" ht="15.75" hidden="false" customHeight="false" outlineLevel="0" collapsed="false">
      <c r="C912" s="16"/>
      <c r="D912" s="16"/>
    </row>
    <row r="913" customFormat="false" ht="15.75" hidden="false" customHeight="false" outlineLevel="0" collapsed="false">
      <c r="C913" s="16"/>
      <c r="D913" s="16"/>
    </row>
    <row r="914" customFormat="false" ht="15.75" hidden="false" customHeight="false" outlineLevel="0" collapsed="false">
      <c r="C914" s="16"/>
      <c r="D914" s="16"/>
    </row>
    <row r="915" customFormat="false" ht="15.75" hidden="false" customHeight="false" outlineLevel="0" collapsed="false">
      <c r="C915" s="16"/>
      <c r="D915" s="16"/>
    </row>
    <row r="916" customFormat="false" ht="15.75" hidden="false" customHeight="false" outlineLevel="0" collapsed="false">
      <c r="C916" s="16"/>
      <c r="D916" s="16"/>
    </row>
    <row r="917" customFormat="false" ht="15.75" hidden="false" customHeight="false" outlineLevel="0" collapsed="false">
      <c r="C917" s="16"/>
      <c r="D917" s="16"/>
    </row>
    <row r="918" customFormat="false" ht="15.75" hidden="false" customHeight="false" outlineLevel="0" collapsed="false">
      <c r="C918" s="16"/>
      <c r="D918" s="16"/>
    </row>
    <row r="919" customFormat="false" ht="15.75" hidden="false" customHeight="false" outlineLevel="0" collapsed="false">
      <c r="C919" s="16"/>
      <c r="D919" s="16"/>
    </row>
    <row r="920" customFormat="false" ht="15.75" hidden="false" customHeight="false" outlineLevel="0" collapsed="false">
      <c r="C920" s="16"/>
      <c r="D920" s="16"/>
    </row>
    <row r="921" customFormat="false" ht="15.75" hidden="false" customHeight="false" outlineLevel="0" collapsed="false">
      <c r="C921" s="16"/>
      <c r="D921" s="16"/>
    </row>
    <row r="922" customFormat="false" ht="15.75" hidden="false" customHeight="false" outlineLevel="0" collapsed="false">
      <c r="C922" s="16"/>
      <c r="D922" s="16"/>
    </row>
    <row r="923" customFormat="false" ht="15.75" hidden="false" customHeight="false" outlineLevel="0" collapsed="false">
      <c r="C923" s="16"/>
      <c r="D923" s="16"/>
    </row>
    <row r="924" customFormat="false" ht="15.75" hidden="false" customHeight="false" outlineLevel="0" collapsed="false">
      <c r="C924" s="16"/>
      <c r="D924" s="16"/>
    </row>
    <row r="925" customFormat="false" ht="15.75" hidden="false" customHeight="false" outlineLevel="0" collapsed="false">
      <c r="C925" s="16"/>
      <c r="D925" s="16"/>
    </row>
    <row r="926" customFormat="false" ht="15.75" hidden="false" customHeight="false" outlineLevel="0" collapsed="false">
      <c r="C926" s="16"/>
      <c r="D926" s="16"/>
    </row>
    <row r="927" customFormat="false" ht="15.75" hidden="false" customHeight="false" outlineLevel="0" collapsed="false">
      <c r="C927" s="16"/>
      <c r="D927" s="16"/>
    </row>
    <row r="928" customFormat="false" ht="15.75" hidden="false" customHeight="false" outlineLevel="0" collapsed="false">
      <c r="C928" s="16"/>
      <c r="D928" s="16"/>
    </row>
    <row r="929" customFormat="false" ht="15.75" hidden="false" customHeight="false" outlineLevel="0" collapsed="false">
      <c r="C929" s="16"/>
      <c r="D929" s="16"/>
    </row>
    <row r="930" customFormat="false" ht="15.75" hidden="false" customHeight="false" outlineLevel="0" collapsed="false">
      <c r="C930" s="16"/>
      <c r="D930" s="16"/>
    </row>
    <row r="931" customFormat="false" ht="15.75" hidden="false" customHeight="false" outlineLevel="0" collapsed="false">
      <c r="C931" s="16"/>
      <c r="D931" s="16"/>
    </row>
    <row r="932" customFormat="false" ht="15.75" hidden="false" customHeight="false" outlineLevel="0" collapsed="false">
      <c r="C932" s="16"/>
      <c r="D932" s="16"/>
    </row>
    <row r="933" customFormat="false" ht="15.75" hidden="false" customHeight="false" outlineLevel="0" collapsed="false">
      <c r="C933" s="16"/>
      <c r="D933" s="16"/>
    </row>
    <row r="934" customFormat="false" ht="15.75" hidden="false" customHeight="false" outlineLevel="0" collapsed="false">
      <c r="C934" s="16"/>
      <c r="D934" s="16"/>
    </row>
    <row r="935" customFormat="false" ht="15.75" hidden="false" customHeight="false" outlineLevel="0" collapsed="false">
      <c r="C935" s="16"/>
      <c r="D935" s="16"/>
    </row>
    <row r="936" customFormat="false" ht="15.75" hidden="false" customHeight="false" outlineLevel="0" collapsed="false">
      <c r="C936" s="16"/>
      <c r="D936" s="16"/>
    </row>
    <row r="937" customFormat="false" ht="15.75" hidden="false" customHeight="false" outlineLevel="0" collapsed="false">
      <c r="C937" s="16"/>
      <c r="D937" s="16"/>
    </row>
    <row r="938" customFormat="false" ht="15.75" hidden="false" customHeight="false" outlineLevel="0" collapsed="false">
      <c r="C938" s="16"/>
      <c r="D938" s="16"/>
    </row>
    <row r="939" customFormat="false" ht="15.75" hidden="false" customHeight="false" outlineLevel="0" collapsed="false">
      <c r="C939" s="16"/>
      <c r="D939" s="16"/>
    </row>
    <row r="940" customFormat="false" ht="15.75" hidden="false" customHeight="false" outlineLevel="0" collapsed="false">
      <c r="C940" s="16"/>
      <c r="D940" s="16"/>
    </row>
    <row r="941" customFormat="false" ht="15.75" hidden="false" customHeight="false" outlineLevel="0" collapsed="false">
      <c r="C941" s="16"/>
      <c r="D941" s="16"/>
    </row>
    <row r="942" customFormat="false" ht="15.75" hidden="false" customHeight="false" outlineLevel="0" collapsed="false">
      <c r="C942" s="16"/>
      <c r="D942" s="16"/>
    </row>
    <row r="943" customFormat="false" ht="15.75" hidden="false" customHeight="false" outlineLevel="0" collapsed="false">
      <c r="C943" s="16"/>
      <c r="D943" s="16"/>
    </row>
    <row r="944" customFormat="false" ht="15.75" hidden="false" customHeight="false" outlineLevel="0" collapsed="false">
      <c r="C944" s="16"/>
      <c r="D944" s="16"/>
    </row>
    <row r="945" customFormat="false" ht="15.75" hidden="false" customHeight="false" outlineLevel="0" collapsed="false">
      <c r="C945" s="16"/>
      <c r="D945" s="16"/>
    </row>
    <row r="946" customFormat="false" ht="15.75" hidden="false" customHeight="false" outlineLevel="0" collapsed="false">
      <c r="C946" s="16"/>
      <c r="D946" s="16"/>
    </row>
    <row r="947" customFormat="false" ht="15.75" hidden="false" customHeight="false" outlineLevel="0" collapsed="false">
      <c r="C947" s="16"/>
      <c r="D947" s="16"/>
    </row>
    <row r="948" customFormat="false" ht="15.75" hidden="false" customHeight="false" outlineLevel="0" collapsed="false">
      <c r="C948" s="16"/>
      <c r="D948" s="16"/>
    </row>
    <row r="949" customFormat="false" ht="15.75" hidden="false" customHeight="false" outlineLevel="0" collapsed="false">
      <c r="C949" s="16"/>
      <c r="D949" s="16"/>
    </row>
    <row r="950" customFormat="false" ht="15.75" hidden="false" customHeight="false" outlineLevel="0" collapsed="false">
      <c r="C950" s="16"/>
      <c r="D950" s="16"/>
    </row>
    <row r="951" customFormat="false" ht="15.75" hidden="false" customHeight="false" outlineLevel="0" collapsed="false">
      <c r="C951" s="16"/>
      <c r="D951" s="16"/>
    </row>
    <row r="952" customFormat="false" ht="15.75" hidden="false" customHeight="false" outlineLevel="0" collapsed="false">
      <c r="C952" s="16"/>
      <c r="D952" s="16"/>
    </row>
    <row r="953" customFormat="false" ht="15.75" hidden="false" customHeight="false" outlineLevel="0" collapsed="false">
      <c r="C953" s="16"/>
      <c r="D953" s="16"/>
    </row>
    <row r="954" customFormat="false" ht="15.75" hidden="false" customHeight="false" outlineLevel="0" collapsed="false">
      <c r="C954" s="16"/>
      <c r="D954" s="16"/>
    </row>
    <row r="955" customFormat="false" ht="15.75" hidden="false" customHeight="false" outlineLevel="0" collapsed="false">
      <c r="C955" s="16"/>
      <c r="D955" s="16"/>
    </row>
    <row r="956" customFormat="false" ht="15.75" hidden="false" customHeight="false" outlineLevel="0" collapsed="false">
      <c r="C956" s="16"/>
      <c r="D956" s="16"/>
    </row>
    <row r="957" customFormat="false" ht="15.75" hidden="false" customHeight="false" outlineLevel="0" collapsed="false">
      <c r="C957" s="16"/>
      <c r="D957" s="16"/>
    </row>
    <row r="958" customFormat="false" ht="15.75" hidden="false" customHeight="false" outlineLevel="0" collapsed="false">
      <c r="C958" s="16"/>
      <c r="D958" s="16"/>
    </row>
    <row r="959" customFormat="false" ht="15.75" hidden="false" customHeight="false" outlineLevel="0" collapsed="false">
      <c r="C959" s="16"/>
      <c r="D959" s="16"/>
    </row>
    <row r="960" customFormat="false" ht="15.75" hidden="false" customHeight="false" outlineLevel="0" collapsed="false">
      <c r="C960" s="16"/>
      <c r="D960" s="16"/>
    </row>
    <row r="961" customFormat="false" ht="15.75" hidden="false" customHeight="false" outlineLevel="0" collapsed="false">
      <c r="C961" s="16"/>
      <c r="D961" s="16"/>
    </row>
    <row r="962" customFormat="false" ht="15.75" hidden="false" customHeight="false" outlineLevel="0" collapsed="false">
      <c r="C962" s="16"/>
      <c r="D962" s="16"/>
    </row>
    <row r="963" customFormat="false" ht="15.75" hidden="false" customHeight="false" outlineLevel="0" collapsed="false">
      <c r="C963" s="16"/>
      <c r="D963" s="16"/>
    </row>
    <row r="964" customFormat="false" ht="15.75" hidden="false" customHeight="false" outlineLevel="0" collapsed="false">
      <c r="C964" s="16"/>
      <c r="D964" s="16"/>
    </row>
    <row r="965" customFormat="false" ht="15.75" hidden="false" customHeight="false" outlineLevel="0" collapsed="false">
      <c r="C965" s="16"/>
      <c r="D965" s="16"/>
    </row>
    <row r="966" customFormat="false" ht="15.75" hidden="false" customHeight="false" outlineLevel="0" collapsed="false">
      <c r="C966" s="16"/>
      <c r="D966" s="16"/>
    </row>
    <row r="967" customFormat="false" ht="15.75" hidden="false" customHeight="false" outlineLevel="0" collapsed="false">
      <c r="C967" s="16"/>
      <c r="D967" s="16"/>
    </row>
    <row r="968" customFormat="false" ht="15.75" hidden="false" customHeight="false" outlineLevel="0" collapsed="false">
      <c r="C968" s="16"/>
      <c r="D968" s="16"/>
    </row>
    <row r="969" customFormat="false" ht="15.75" hidden="false" customHeight="false" outlineLevel="0" collapsed="false">
      <c r="C969" s="16"/>
      <c r="D969" s="16"/>
    </row>
    <row r="970" customFormat="false" ht="15.75" hidden="false" customHeight="false" outlineLevel="0" collapsed="false">
      <c r="C970" s="16"/>
      <c r="D970" s="16"/>
    </row>
    <row r="971" customFormat="false" ht="15.75" hidden="false" customHeight="false" outlineLevel="0" collapsed="false">
      <c r="C971" s="16"/>
      <c r="D971" s="16"/>
    </row>
    <row r="972" customFormat="false" ht="15.75" hidden="false" customHeight="false" outlineLevel="0" collapsed="false">
      <c r="C972" s="16"/>
      <c r="D972" s="16"/>
    </row>
    <row r="973" customFormat="false" ht="15.75" hidden="false" customHeight="false" outlineLevel="0" collapsed="false">
      <c r="C973" s="16"/>
      <c r="D973" s="16"/>
    </row>
    <row r="974" customFormat="false" ht="15.75" hidden="false" customHeight="false" outlineLevel="0" collapsed="false">
      <c r="C974" s="16"/>
      <c r="D974" s="16"/>
    </row>
    <row r="975" customFormat="false" ht="15.75" hidden="false" customHeight="false" outlineLevel="0" collapsed="false">
      <c r="C975" s="16"/>
      <c r="D975" s="16"/>
    </row>
    <row r="976" customFormat="false" ht="15.75" hidden="false" customHeight="false" outlineLevel="0" collapsed="false">
      <c r="C976" s="16"/>
      <c r="D976" s="16"/>
    </row>
    <row r="977" customFormat="false" ht="15.75" hidden="false" customHeight="false" outlineLevel="0" collapsed="false">
      <c r="C977" s="16"/>
      <c r="D977" s="16"/>
    </row>
    <row r="978" customFormat="false" ht="15.75" hidden="false" customHeight="false" outlineLevel="0" collapsed="false">
      <c r="C978" s="16"/>
      <c r="D978" s="16"/>
    </row>
    <row r="979" customFormat="false" ht="15.75" hidden="false" customHeight="false" outlineLevel="0" collapsed="false">
      <c r="C979" s="16"/>
      <c r="D979" s="16"/>
    </row>
    <row r="980" customFormat="false" ht="15.75" hidden="false" customHeight="false" outlineLevel="0" collapsed="false">
      <c r="C980" s="16"/>
      <c r="D980" s="16"/>
    </row>
    <row r="981" customFormat="false" ht="15.75" hidden="false" customHeight="false" outlineLevel="0" collapsed="false">
      <c r="C981" s="16"/>
      <c r="D981" s="16"/>
    </row>
    <row r="982" customFormat="false" ht="15.75" hidden="false" customHeight="false" outlineLevel="0" collapsed="false">
      <c r="C982" s="16"/>
      <c r="D982" s="16"/>
    </row>
    <row r="983" customFormat="false" ht="15.75" hidden="false" customHeight="false" outlineLevel="0" collapsed="false">
      <c r="C983" s="16"/>
      <c r="D983" s="16"/>
    </row>
    <row r="984" customFormat="false" ht="15.75" hidden="false" customHeight="false" outlineLevel="0" collapsed="false">
      <c r="C984" s="16"/>
      <c r="D984" s="16"/>
    </row>
    <row r="985" customFormat="false" ht="15.75" hidden="false" customHeight="false" outlineLevel="0" collapsed="false">
      <c r="C985" s="16"/>
      <c r="D985" s="16"/>
    </row>
    <row r="986" customFormat="false" ht="15.75" hidden="false" customHeight="false" outlineLevel="0" collapsed="false">
      <c r="C986" s="16"/>
      <c r="D986" s="16"/>
    </row>
    <row r="987" customFormat="false" ht="15.75" hidden="false" customHeight="false" outlineLevel="0" collapsed="false">
      <c r="C987" s="16"/>
      <c r="D987" s="16"/>
    </row>
    <row r="988" customFormat="false" ht="15.75" hidden="false" customHeight="false" outlineLevel="0" collapsed="false">
      <c r="C988" s="16"/>
      <c r="D988" s="16"/>
    </row>
    <row r="989" customFormat="false" ht="15.75" hidden="false" customHeight="false" outlineLevel="0" collapsed="false">
      <c r="C989" s="16"/>
      <c r="D989" s="16"/>
    </row>
    <row r="990" customFormat="false" ht="15.75" hidden="false" customHeight="false" outlineLevel="0" collapsed="false">
      <c r="C990" s="16"/>
      <c r="D990" s="16"/>
    </row>
    <row r="991" customFormat="false" ht="15.75" hidden="false" customHeight="false" outlineLevel="0" collapsed="false">
      <c r="C991" s="16"/>
      <c r="D991" s="16"/>
    </row>
    <row r="992" customFormat="false" ht="15.75" hidden="false" customHeight="false" outlineLevel="0" collapsed="false">
      <c r="C992" s="16"/>
      <c r="D992" s="16"/>
    </row>
    <row r="993" customFormat="false" ht="15.75" hidden="false" customHeight="false" outlineLevel="0" collapsed="false">
      <c r="C993" s="16"/>
      <c r="D993" s="16"/>
    </row>
    <row r="994" customFormat="false" ht="15.75" hidden="false" customHeight="false" outlineLevel="0" collapsed="false">
      <c r="C994" s="16"/>
      <c r="D994" s="16"/>
    </row>
    <row r="995" customFormat="false" ht="15.75" hidden="false" customHeight="false" outlineLevel="0" collapsed="false">
      <c r="C995" s="16"/>
      <c r="D995" s="16"/>
    </row>
    <row r="996" customFormat="false" ht="15.75" hidden="false" customHeight="false" outlineLevel="0" collapsed="false">
      <c r="C996" s="16"/>
      <c r="D996" s="16"/>
    </row>
    <row r="997" customFormat="false" ht="15.75" hidden="false" customHeight="false" outlineLevel="0" collapsed="false">
      <c r="C997" s="16"/>
      <c r="D997" s="16"/>
    </row>
    <row r="998" customFormat="false" ht="15.75" hidden="false" customHeight="false" outlineLevel="0" collapsed="false">
      <c r="C998" s="16"/>
      <c r="D998" s="16"/>
    </row>
    <row r="999" customFormat="false" ht="15.75" hidden="false" customHeight="false" outlineLevel="0" collapsed="false">
      <c r="C999" s="16"/>
      <c r="D999" s="16"/>
    </row>
    <row r="1000" customFormat="false" ht="15.75" hidden="false" customHeight="false" outlineLevel="0" collapsed="false">
      <c r="C1000" s="16"/>
      <c r="D1000" s="16"/>
    </row>
  </sheetData>
  <autoFilter ref="A1:F8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2026-08-06T23:50:50Z</dcterms:modified>
  <cp:revision>2</cp:revision>
  <dc:subject/>
  <dc:title/>
</cp:coreProperties>
</file>